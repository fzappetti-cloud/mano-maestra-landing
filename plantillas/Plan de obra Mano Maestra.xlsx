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obra" sheetId="1" state="visible" r:id="rId1"/>
    <sheet xmlns:r="http://schemas.openxmlformats.org/officeDocument/2006/relationships" name="Parte de viernes" sheetId="2" state="visible" r:id="rId2"/>
    <sheet xmlns:r="http://schemas.openxmlformats.org/officeDocument/2006/relationships" name="Resumen de avance" sheetId="3" state="visible" r:id="rId3"/>
    <sheet xmlns:r="http://schemas.openxmlformats.org/officeDocument/2006/relationships" name="Cómo se u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5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2" borderId="1" pivotButton="0" quotePrefix="0" xfId="0"/>
    <xf numFmtId="164" fontId="0" fillId="0" borderId="1" pivotButton="0" quotePrefix="0" xfId="0"/>
    <xf numFmtId="164" fontId="3" fillId="0" borderId="0" pivotButton="0" quotePrefix="0" xfId="0"/>
    <xf numFmtId="164" fontId="0" fillId="0" borderId="0" pivotButton="0" quotePrefix="0" xfId="0"/>
    <xf numFmtId="165" fontId="0" fillId="2" borderId="1" pivotButton="0" quotePrefix="0" xfId="0"/>
    <xf numFmtId="0" fontId="0" fillId="0" borderId="1" pivotButton="0" quotePrefix="0" xfId="0"/>
    <xf numFmtId="9" fontId="0" fillId="0" borderId="1" pivotButton="0" quotePrefix="0" xfId="0"/>
    <xf numFmtId="9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9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MANO MAESTRA · Plan de obra y presupuesto detallado</t>
        </is>
      </c>
    </row>
    <row r="2">
      <c r="A2" s="2" t="inlineStr">
        <is>
          <t>Calidad visible</t>
        </is>
      </c>
    </row>
    <row r="4">
      <c r="A4" s="3" t="inlineStr">
        <is>
          <t>Cliente</t>
        </is>
      </c>
      <c r="B4" s="4" t="inlineStr"/>
      <c r="C4" s="5" t="n"/>
      <c r="D4" s="6" t="n"/>
      <c r="F4" s="3" t="inlineStr">
        <is>
          <t>Anticipo para materiales (%)</t>
        </is>
      </c>
      <c r="G4" s="7" t="n">
        <v>0.2</v>
      </c>
    </row>
    <row r="5">
      <c r="A5" s="3" t="inlineStr">
        <is>
          <t>Dirección de la obra</t>
        </is>
      </c>
      <c r="B5" s="4" t="inlineStr"/>
      <c r="C5" s="5" t="n"/>
      <c r="D5" s="6" t="n"/>
      <c r="F5" s="3" t="inlineStr">
        <is>
          <t>Retención hasta entrega conforme (%)</t>
        </is>
      </c>
      <c r="G5" s="7" t="n">
        <v>0.1</v>
      </c>
    </row>
    <row r="6">
      <c r="A6" s="3" t="inlineStr">
        <is>
          <t>Fecha de inicio</t>
        </is>
      </c>
      <c r="B6" s="4" t="inlineStr"/>
      <c r="C6" s="5" t="n"/>
      <c r="D6" s="6" t="n"/>
    </row>
    <row r="7">
      <c r="A7" s="3" t="inlineStr">
        <is>
          <t>Fecha de entrega acordada</t>
        </is>
      </c>
      <c r="B7" s="4" t="inlineStr"/>
      <c r="C7" s="5" t="n"/>
      <c r="D7" s="6" t="n"/>
    </row>
    <row r="9" ht="32" customHeight="1">
      <c r="A9" s="8" t="inlineStr">
        <is>
          <t>N°</t>
        </is>
      </c>
      <c r="B9" s="8" t="inlineStr">
        <is>
          <t>Rubro / tarea</t>
        </is>
      </c>
      <c r="C9" s="8" t="inlineStr">
        <is>
          <t>Ambiente</t>
        </is>
      </c>
      <c r="D9" s="8" t="inlineStr">
        <is>
          <t>Unidad</t>
        </is>
      </c>
      <c r="E9" s="8" t="inlineStr">
        <is>
          <t>Cantidad total</t>
        </is>
      </c>
      <c r="F9" s="8" t="inlineStr">
        <is>
          <t>Precio unitario</t>
        </is>
      </c>
      <c r="G9" s="8" t="inlineStr">
        <is>
          <t>Subtotal</t>
        </is>
      </c>
      <c r="H9" s="8" t="inlineStr">
        <is>
          <t>Semana prevista</t>
        </is>
      </c>
    </row>
    <row r="10">
      <c r="A10" s="9" t="n">
        <v>1</v>
      </c>
      <c r="B10" s="4" t="inlineStr">
        <is>
          <t>Reparación de paredes y enduido</t>
        </is>
      </c>
      <c r="C10" s="4" t="inlineStr">
        <is>
          <t>Living y cocina</t>
        </is>
      </c>
      <c r="D10" s="4" t="inlineStr">
        <is>
          <t>m²</t>
        </is>
      </c>
      <c r="E10" s="4" t="n">
        <v>60</v>
      </c>
      <c r="F10" s="10" t="n">
        <v>3500</v>
      </c>
      <c r="G10" s="11">
        <f>IF(AND(E10&lt;&gt;"",F10&lt;&gt;""),E10*F10,"")</f>
        <v/>
      </c>
      <c r="H10" s="4" t="n">
        <v>1</v>
      </c>
    </row>
    <row r="11">
      <c r="A11" s="9" t="n">
        <v>2</v>
      </c>
      <c r="B11" s="4" t="inlineStr">
        <is>
          <t>Pintura interior (2 manos)</t>
        </is>
      </c>
      <c r="C11" s="4" t="inlineStr">
        <is>
          <t>Living y cocina</t>
        </is>
      </c>
      <c r="D11" s="4" t="inlineStr">
        <is>
          <t>m²</t>
        </is>
      </c>
      <c r="E11" s="4" t="n">
        <v>120</v>
      </c>
      <c r="F11" s="10" t="n">
        <v>4200</v>
      </c>
      <c r="G11" s="11">
        <f>IF(AND(E11&lt;&gt;"",F11&lt;&gt;""),E11*F11,"")</f>
        <v/>
      </c>
      <c r="H11" s="4" t="n">
        <v>2</v>
      </c>
    </row>
    <row r="12">
      <c r="A12" s="9" t="n">
        <v>3</v>
      </c>
      <c r="B12" s="4" t="inlineStr">
        <is>
          <t>Pintura de frente</t>
        </is>
      </c>
      <c r="C12" s="4" t="inlineStr">
        <is>
          <t>Frente</t>
        </is>
      </c>
      <c r="D12" s="4" t="inlineStr">
        <is>
          <t>m²</t>
        </is>
      </c>
      <c r="E12" s="4" t="n">
        <v>45</v>
      </c>
      <c r="F12" s="10" t="n">
        <v>5800</v>
      </c>
      <c r="G12" s="11">
        <f>IF(AND(E12&lt;&gt;"",F12&lt;&gt;""),E12*F12,"")</f>
        <v/>
      </c>
      <c r="H12" s="4" t="n">
        <v>3</v>
      </c>
    </row>
    <row r="13">
      <c r="A13" s="9" t="n">
        <v>4</v>
      </c>
      <c r="B13" s="4" t="inlineStr">
        <is>
          <t>Revoque y reparación de cielorraso</t>
        </is>
      </c>
      <c r="C13" s="4" t="inlineStr">
        <is>
          <t>Dormitorios</t>
        </is>
      </c>
      <c r="D13" s="4" t="inlineStr">
        <is>
          <t>m²</t>
        </is>
      </c>
      <c r="E13" s="4" t="n">
        <v>30</v>
      </c>
      <c r="F13" s="10" t="n">
        <v>6500</v>
      </c>
      <c r="G13" s="11">
        <f>IF(AND(E13&lt;&gt;"",F13&lt;&gt;""),E13*F13,"")</f>
        <v/>
      </c>
      <c r="H13" s="4" t="n">
        <v>3</v>
      </c>
    </row>
    <row r="14">
      <c r="A14" s="9" t="n">
        <v>5</v>
      </c>
      <c r="B14" s="4" t="n"/>
      <c r="C14" s="4" t="n"/>
      <c r="D14" s="4" t="n"/>
      <c r="E14" s="4" t="n"/>
      <c r="F14" s="10" t="n"/>
      <c r="G14" s="11">
        <f>IF(AND(E14&lt;&gt;"",F14&lt;&gt;""),E14*F14,"")</f>
        <v/>
      </c>
      <c r="H14" s="4" t="n"/>
    </row>
    <row r="15">
      <c r="A15" s="9" t="n">
        <v>6</v>
      </c>
      <c r="B15" s="4" t="n"/>
      <c r="C15" s="4" t="n"/>
      <c r="D15" s="4" t="n"/>
      <c r="E15" s="4" t="n"/>
      <c r="F15" s="10" t="n"/>
      <c r="G15" s="11">
        <f>IF(AND(E15&lt;&gt;"",F15&lt;&gt;""),E15*F15,"")</f>
        <v/>
      </c>
      <c r="H15" s="4" t="n"/>
    </row>
    <row r="16">
      <c r="A16" s="9" t="n">
        <v>7</v>
      </c>
      <c r="B16" s="4" t="n"/>
      <c r="C16" s="4" t="n"/>
      <c r="D16" s="4" t="n"/>
      <c r="E16" s="4" t="n"/>
      <c r="F16" s="10" t="n"/>
      <c r="G16" s="11">
        <f>IF(AND(E16&lt;&gt;"",F16&lt;&gt;""),E16*F16,"")</f>
        <v/>
      </c>
      <c r="H16" s="4" t="n"/>
    </row>
    <row r="17">
      <c r="A17" s="9" t="n">
        <v>8</v>
      </c>
      <c r="B17" s="4" t="n"/>
      <c r="C17" s="4" t="n"/>
      <c r="D17" s="4" t="n"/>
      <c r="E17" s="4" t="n"/>
      <c r="F17" s="10" t="n"/>
      <c r="G17" s="11">
        <f>IF(AND(E17&lt;&gt;"",F17&lt;&gt;""),E17*F17,"")</f>
        <v/>
      </c>
      <c r="H17" s="4" t="n"/>
    </row>
    <row r="18">
      <c r="A18" s="9" t="n">
        <v>9</v>
      </c>
      <c r="B18" s="4" t="n"/>
      <c r="C18" s="4" t="n"/>
      <c r="D18" s="4" t="n"/>
      <c r="E18" s="4" t="n"/>
      <c r="F18" s="10" t="n"/>
      <c r="G18" s="11">
        <f>IF(AND(E18&lt;&gt;"",F18&lt;&gt;""),E18*F18,"")</f>
        <v/>
      </c>
      <c r="H18" s="4" t="n"/>
    </row>
    <row r="19">
      <c r="A19" s="9" t="n">
        <v>10</v>
      </c>
      <c r="B19" s="4" t="n"/>
      <c r="C19" s="4" t="n"/>
      <c r="D19" s="4" t="n"/>
      <c r="E19" s="4" t="n"/>
      <c r="F19" s="10" t="n"/>
      <c r="G19" s="11">
        <f>IF(AND(E19&lt;&gt;"",F19&lt;&gt;""),E19*F19,"")</f>
        <v/>
      </c>
      <c r="H19" s="4" t="n"/>
    </row>
    <row r="20">
      <c r="A20" s="9" t="n">
        <v>11</v>
      </c>
      <c r="B20" s="4" t="n"/>
      <c r="C20" s="4" t="n"/>
      <c r="D20" s="4" t="n"/>
      <c r="E20" s="4" t="n"/>
      <c r="F20" s="10" t="n"/>
      <c r="G20" s="11">
        <f>IF(AND(E20&lt;&gt;"",F20&lt;&gt;""),E20*F20,"")</f>
        <v/>
      </c>
      <c r="H20" s="4" t="n"/>
    </row>
    <row r="21">
      <c r="A21" s="9" t="n">
        <v>12</v>
      </c>
      <c r="B21" s="4" t="n"/>
      <c r="C21" s="4" t="n"/>
      <c r="D21" s="4" t="n"/>
      <c r="E21" s="4" t="n"/>
      <c r="F21" s="10" t="n"/>
      <c r="G21" s="11">
        <f>IF(AND(E21&lt;&gt;"",F21&lt;&gt;""),E21*F21,"")</f>
        <v/>
      </c>
      <c r="H21" s="4" t="n"/>
    </row>
    <row r="22">
      <c r="A22" s="9" t="n">
        <v>13</v>
      </c>
      <c r="B22" s="4" t="n"/>
      <c r="C22" s="4" t="n"/>
      <c r="D22" s="4" t="n"/>
      <c r="E22" s="4" t="n"/>
      <c r="F22" s="10" t="n"/>
      <c r="G22" s="11">
        <f>IF(AND(E22&lt;&gt;"",F22&lt;&gt;""),E22*F22,"")</f>
        <v/>
      </c>
      <c r="H22" s="4" t="n"/>
    </row>
    <row r="23">
      <c r="A23" s="9" t="n">
        <v>14</v>
      </c>
      <c r="B23" s="4" t="n"/>
      <c r="C23" s="4" t="n"/>
      <c r="D23" s="4" t="n"/>
      <c r="E23" s="4" t="n"/>
      <c r="F23" s="10" t="n"/>
      <c r="G23" s="11">
        <f>IF(AND(E23&lt;&gt;"",F23&lt;&gt;""),E23*F23,"")</f>
        <v/>
      </c>
      <c r="H23" s="4" t="n"/>
    </row>
    <row r="24">
      <c r="A24" s="9" t="n">
        <v>15</v>
      </c>
      <c r="B24" s="4" t="n"/>
      <c r="C24" s="4" t="n"/>
      <c r="D24" s="4" t="n"/>
      <c r="E24" s="4" t="n"/>
      <c r="F24" s="10" t="n"/>
      <c r="G24" s="11">
        <f>IF(AND(E24&lt;&gt;"",F24&lt;&gt;""),E24*F24,"")</f>
        <v/>
      </c>
      <c r="H24" s="4" t="n"/>
    </row>
    <row r="25">
      <c r="A25" s="9" t="n">
        <v>16</v>
      </c>
      <c r="B25" s="4" t="n"/>
      <c r="C25" s="4" t="n"/>
      <c r="D25" s="4" t="n"/>
      <c r="E25" s="4" t="n"/>
      <c r="F25" s="10" t="n"/>
      <c r="G25" s="11">
        <f>IF(AND(E25&lt;&gt;"",F25&lt;&gt;""),E25*F25,"")</f>
        <v/>
      </c>
      <c r="H25" s="4" t="n"/>
    </row>
    <row r="26">
      <c r="A26" s="9" t="n">
        <v>17</v>
      </c>
      <c r="B26" s="4" t="n"/>
      <c r="C26" s="4" t="n"/>
      <c r="D26" s="4" t="n"/>
      <c r="E26" s="4" t="n"/>
      <c r="F26" s="10" t="n"/>
      <c r="G26" s="11">
        <f>IF(AND(E26&lt;&gt;"",F26&lt;&gt;""),E26*F26,"")</f>
        <v/>
      </c>
      <c r="H26" s="4" t="n"/>
    </row>
    <row r="27">
      <c r="A27" s="9" t="n">
        <v>18</v>
      </c>
      <c r="B27" s="4" t="n"/>
      <c r="C27" s="4" t="n"/>
      <c r="D27" s="4" t="n"/>
      <c r="E27" s="4" t="n"/>
      <c r="F27" s="10" t="n"/>
      <c r="G27" s="11">
        <f>IF(AND(E27&lt;&gt;"",F27&lt;&gt;""),E27*F27,"")</f>
        <v/>
      </c>
      <c r="H27" s="4" t="n"/>
    </row>
    <row r="28">
      <c r="A28" s="9" t="n">
        <v>19</v>
      </c>
      <c r="B28" s="4" t="n"/>
      <c r="C28" s="4" t="n"/>
      <c r="D28" s="4" t="n"/>
      <c r="E28" s="4" t="n"/>
      <c r="F28" s="10" t="n"/>
      <c r="G28" s="11">
        <f>IF(AND(E28&lt;&gt;"",F28&lt;&gt;""),E28*F28,"")</f>
        <v/>
      </c>
      <c r="H28" s="4" t="n"/>
    </row>
    <row r="29">
      <c r="A29" s="9" t="n">
        <v>20</v>
      </c>
      <c r="B29" s="4" t="n"/>
      <c r="C29" s="4" t="n"/>
      <c r="D29" s="4" t="n"/>
      <c r="E29" s="4" t="n"/>
      <c r="F29" s="10" t="n"/>
      <c r="G29" s="11">
        <f>IF(AND(E29&lt;&gt;"",F29&lt;&gt;""),E29*F29,"")</f>
        <v/>
      </c>
      <c r="H29" s="4" t="n"/>
    </row>
    <row r="31">
      <c r="F31" s="3" t="inlineStr">
        <is>
          <t>TOTAL DE LA OBRA</t>
        </is>
      </c>
      <c r="G31" s="12">
        <f>SUM(G10:G29)</f>
        <v/>
      </c>
    </row>
    <row r="32">
      <c r="F32" s="3" t="inlineStr">
        <is>
          <t>Anticipo</t>
        </is>
      </c>
      <c r="G32" s="13">
        <f>G31*G4</f>
        <v/>
      </c>
    </row>
    <row r="33">
      <c r="F33" s="3" t="inlineStr">
        <is>
          <t>Retención final</t>
        </is>
      </c>
      <c r="G33" s="13">
        <f>G31*G5</f>
        <v/>
      </c>
    </row>
    <row r="35">
      <c r="A35" s="2" t="inlineStr">
        <is>
          <t>Las filas en amarillo se completan. Las de ejemplo se pueden borrar o pisar. El precio de cada tarea queda acordado con el cliente antes de empezar.</t>
        </is>
      </c>
    </row>
  </sheetData>
  <mergeCells count="4">
    <mergeCell ref="B7:D7"/>
    <mergeCell ref="B6:D6"/>
    <mergeCell ref="B5:D5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34" customWidth="1" min="4" max="4"/>
    <col width="9" customWidth="1" min="5" max="5"/>
    <col width="16" customWidth="1" min="6" max="6"/>
    <col width="14" customWidth="1" min="7" max="7"/>
    <col width="16" customWidth="1" min="8" max="8"/>
    <col width="12" customWidth="1" min="9" max="9"/>
    <col width="14" customWidth="1" min="10" max="10"/>
    <col width="10" customWidth="1" min="11" max="11"/>
  </cols>
  <sheetData>
    <row r="1">
      <c r="A1" s="1" t="inlineStr">
        <is>
          <t>Parte de avance semanal (se completa cada viernes)</t>
        </is>
      </c>
    </row>
    <row r="2">
      <c r="A2" s="2" t="inlineStr">
        <is>
          <t>Se anota la cantidad terminada esa semana. El monto sale solo: cantidad hecha × precio de la tarea.</t>
        </is>
      </c>
    </row>
    <row r="4" ht="45" customHeight="1">
      <c r="A4" s="8" t="inlineStr">
        <is>
          <t>Fecha del viernes</t>
        </is>
      </c>
      <c r="B4" s="8" t="inlineStr">
        <is>
          <t>Semana N°</t>
        </is>
      </c>
      <c r="C4" s="8" t="inlineStr">
        <is>
          <t>N° de tarea (del plan)</t>
        </is>
      </c>
      <c r="D4" s="8" t="inlineStr">
        <is>
          <t>Tarea</t>
        </is>
      </c>
      <c r="E4" s="8" t="inlineStr">
        <is>
          <t>Unidad</t>
        </is>
      </c>
      <c r="F4" s="8" t="inlineStr">
        <is>
          <t>Cantidad hecha esta semana</t>
        </is>
      </c>
      <c r="G4" s="8" t="inlineStr">
        <is>
          <t>Precio unitario</t>
        </is>
      </c>
      <c r="H4" s="8" t="inlineStr">
        <is>
          <t>Monto de la semana</t>
        </is>
      </c>
      <c r="I4" s="8" t="inlineStr">
        <is>
          <t>Fotos enviadas</t>
        </is>
      </c>
      <c r="J4" s="8" t="inlineStr">
        <is>
          <t>Aprobado por el cliente</t>
        </is>
      </c>
      <c r="K4" s="8" t="inlineStr">
        <is>
          <t>Pagado</t>
        </is>
      </c>
    </row>
    <row r="5">
      <c r="A5" s="14" t="n">
        <v>46332</v>
      </c>
      <c r="B5" s="4" t="n">
        <v>1</v>
      </c>
      <c r="C5" s="4" t="n">
        <v>1</v>
      </c>
      <c r="D5" s="15">
        <f>IF(C5="","",INDEX('Plan de obra'!$B$10:$B$29,MATCH(C5,'Plan de obra'!$A$10:$A$29,0)))</f>
        <v/>
      </c>
      <c r="E5" s="15">
        <f>IF(C5="","",INDEX('Plan de obra'!$D$10:$D$29,MATCH(C5,'Plan de obra'!$A$10:$A$29,0)))</f>
        <v/>
      </c>
      <c r="F5" s="4" t="n">
        <v>60</v>
      </c>
      <c r="G5" s="11">
        <f>IF(C5="","",INDEX('Plan de obra'!$F$10:$F$29,MATCH(C5,'Plan de obra'!$A$10:$A$29,0)))</f>
        <v/>
      </c>
      <c r="H5" s="11">
        <f>IF(OR(C5="",F5=""),"",F5*G5)</f>
        <v/>
      </c>
      <c r="I5" s="4" t="inlineStr">
        <is>
          <t>Sí</t>
        </is>
      </c>
      <c r="J5" s="4" t="inlineStr">
        <is>
          <t>Sí</t>
        </is>
      </c>
      <c r="K5" s="4" t="inlineStr">
        <is>
          <t>Sí</t>
        </is>
      </c>
    </row>
    <row r="6">
      <c r="A6" s="14" t="n">
        <v>46339</v>
      </c>
      <c r="B6" s="4" t="n">
        <v>2</v>
      </c>
      <c r="C6" s="4" t="n">
        <v>2</v>
      </c>
      <c r="D6" s="15">
        <f>IF(C6="","",INDEX('Plan de obra'!$B$10:$B$29,MATCH(C6,'Plan de obra'!$A$10:$A$29,0)))</f>
        <v/>
      </c>
      <c r="E6" s="15">
        <f>IF(C6="","",INDEX('Plan de obra'!$D$10:$D$29,MATCH(C6,'Plan de obra'!$A$10:$A$29,0)))</f>
        <v/>
      </c>
      <c r="F6" s="4" t="n">
        <v>70</v>
      </c>
      <c r="G6" s="11">
        <f>IF(C6="","",INDEX('Plan de obra'!$F$10:$F$29,MATCH(C6,'Plan de obra'!$A$10:$A$29,0)))</f>
        <v/>
      </c>
      <c r="H6" s="11">
        <f>IF(OR(C6="",F6=""),"",F6*G6)</f>
        <v/>
      </c>
      <c r="I6" s="4" t="inlineStr">
        <is>
          <t>Sí</t>
        </is>
      </c>
      <c r="J6" s="4" t="inlineStr">
        <is>
          <t>Sí</t>
        </is>
      </c>
      <c r="K6" s="4" t="inlineStr">
        <is>
          <t>No</t>
        </is>
      </c>
    </row>
    <row r="7">
      <c r="A7" s="14" t="n"/>
      <c r="B7" s="4" t="n"/>
      <c r="C7" s="4" t="n"/>
      <c r="D7" s="15">
        <f>IF(C7="","",INDEX('Plan de obra'!$B$10:$B$29,MATCH(C7,'Plan de obra'!$A$10:$A$29,0)))</f>
        <v/>
      </c>
      <c r="E7" s="15">
        <f>IF(C7="","",INDEX('Plan de obra'!$D$10:$D$29,MATCH(C7,'Plan de obra'!$A$10:$A$29,0)))</f>
        <v/>
      </c>
      <c r="F7" s="4" t="n"/>
      <c r="G7" s="11">
        <f>IF(C7="","",INDEX('Plan de obra'!$F$10:$F$29,MATCH(C7,'Plan de obra'!$A$10:$A$29,0)))</f>
        <v/>
      </c>
      <c r="H7" s="11">
        <f>IF(OR(C7="",F7=""),"",F7*G7)</f>
        <v/>
      </c>
      <c r="I7" s="4" t="n"/>
      <c r="J7" s="4" t="n"/>
      <c r="K7" s="4" t="n"/>
    </row>
    <row r="8">
      <c r="A8" s="14" t="n"/>
      <c r="B8" s="4" t="n"/>
      <c r="C8" s="4" t="n"/>
      <c r="D8" s="15">
        <f>IF(C8="","",INDEX('Plan de obra'!$B$10:$B$29,MATCH(C8,'Plan de obra'!$A$10:$A$29,0)))</f>
        <v/>
      </c>
      <c r="E8" s="15">
        <f>IF(C8="","",INDEX('Plan de obra'!$D$10:$D$29,MATCH(C8,'Plan de obra'!$A$10:$A$29,0)))</f>
        <v/>
      </c>
      <c r="F8" s="4" t="n"/>
      <c r="G8" s="11">
        <f>IF(C8="","",INDEX('Plan de obra'!$F$10:$F$29,MATCH(C8,'Plan de obra'!$A$10:$A$29,0)))</f>
        <v/>
      </c>
      <c r="H8" s="11">
        <f>IF(OR(C8="",F8=""),"",F8*G8)</f>
        <v/>
      </c>
      <c r="I8" s="4" t="n"/>
      <c r="J8" s="4" t="n"/>
      <c r="K8" s="4" t="n"/>
    </row>
    <row r="9">
      <c r="A9" s="14" t="n"/>
      <c r="B9" s="4" t="n"/>
      <c r="C9" s="4" t="n"/>
      <c r="D9" s="15">
        <f>IF(C9="","",INDEX('Plan de obra'!$B$10:$B$29,MATCH(C9,'Plan de obra'!$A$10:$A$29,0)))</f>
        <v/>
      </c>
      <c r="E9" s="15">
        <f>IF(C9="","",INDEX('Plan de obra'!$D$10:$D$29,MATCH(C9,'Plan de obra'!$A$10:$A$29,0)))</f>
        <v/>
      </c>
      <c r="F9" s="4" t="n"/>
      <c r="G9" s="11">
        <f>IF(C9="","",INDEX('Plan de obra'!$F$10:$F$29,MATCH(C9,'Plan de obra'!$A$10:$A$29,0)))</f>
        <v/>
      </c>
      <c r="H9" s="11">
        <f>IF(OR(C9="",F9=""),"",F9*G9)</f>
        <v/>
      </c>
      <c r="I9" s="4" t="n"/>
      <c r="J9" s="4" t="n"/>
      <c r="K9" s="4" t="n"/>
    </row>
    <row r="10">
      <c r="A10" s="14" t="n"/>
      <c r="B10" s="4" t="n"/>
      <c r="C10" s="4" t="n"/>
      <c r="D10" s="15">
        <f>IF(C10="","",INDEX('Plan de obra'!$B$10:$B$29,MATCH(C10,'Plan de obra'!$A$10:$A$29,0)))</f>
        <v/>
      </c>
      <c r="E10" s="15">
        <f>IF(C10="","",INDEX('Plan de obra'!$D$10:$D$29,MATCH(C10,'Plan de obra'!$A$10:$A$29,0)))</f>
        <v/>
      </c>
      <c r="F10" s="4" t="n"/>
      <c r="G10" s="11">
        <f>IF(C10="","",INDEX('Plan de obra'!$F$10:$F$29,MATCH(C10,'Plan de obra'!$A$10:$A$29,0)))</f>
        <v/>
      </c>
      <c r="H10" s="11">
        <f>IF(OR(C10="",F10=""),"",F10*G10)</f>
        <v/>
      </c>
      <c r="I10" s="4" t="n"/>
      <c r="J10" s="4" t="n"/>
      <c r="K10" s="4" t="n"/>
    </row>
    <row r="11">
      <c r="A11" s="14" t="n"/>
      <c r="B11" s="4" t="n"/>
      <c r="C11" s="4" t="n"/>
      <c r="D11" s="15">
        <f>IF(C11="","",INDEX('Plan de obra'!$B$10:$B$29,MATCH(C11,'Plan de obra'!$A$10:$A$29,0)))</f>
        <v/>
      </c>
      <c r="E11" s="15">
        <f>IF(C11="","",INDEX('Plan de obra'!$D$10:$D$29,MATCH(C11,'Plan de obra'!$A$10:$A$29,0)))</f>
        <v/>
      </c>
      <c r="F11" s="4" t="n"/>
      <c r="G11" s="11">
        <f>IF(C11="","",INDEX('Plan de obra'!$F$10:$F$29,MATCH(C11,'Plan de obra'!$A$10:$A$29,0)))</f>
        <v/>
      </c>
      <c r="H11" s="11">
        <f>IF(OR(C11="",F11=""),"",F11*G11)</f>
        <v/>
      </c>
      <c r="I11" s="4" t="n"/>
      <c r="J11" s="4" t="n"/>
      <c r="K11" s="4" t="n"/>
    </row>
    <row r="12">
      <c r="A12" s="14" t="n"/>
      <c r="B12" s="4" t="n"/>
      <c r="C12" s="4" t="n"/>
      <c r="D12" s="15">
        <f>IF(C12="","",INDEX('Plan de obra'!$B$10:$B$29,MATCH(C12,'Plan de obra'!$A$10:$A$29,0)))</f>
        <v/>
      </c>
      <c r="E12" s="15">
        <f>IF(C12="","",INDEX('Plan de obra'!$D$10:$D$29,MATCH(C12,'Plan de obra'!$A$10:$A$29,0)))</f>
        <v/>
      </c>
      <c r="F12" s="4" t="n"/>
      <c r="G12" s="11">
        <f>IF(C12="","",INDEX('Plan de obra'!$F$10:$F$29,MATCH(C12,'Plan de obra'!$A$10:$A$29,0)))</f>
        <v/>
      </c>
      <c r="H12" s="11">
        <f>IF(OR(C12="",F12=""),"",F12*G12)</f>
        <v/>
      </c>
      <c r="I12" s="4" t="n"/>
      <c r="J12" s="4" t="n"/>
      <c r="K12" s="4" t="n"/>
    </row>
    <row r="13">
      <c r="A13" s="14" t="n"/>
      <c r="B13" s="4" t="n"/>
      <c r="C13" s="4" t="n"/>
      <c r="D13" s="15">
        <f>IF(C13="","",INDEX('Plan de obra'!$B$10:$B$29,MATCH(C13,'Plan de obra'!$A$10:$A$29,0)))</f>
        <v/>
      </c>
      <c r="E13" s="15">
        <f>IF(C13="","",INDEX('Plan de obra'!$D$10:$D$29,MATCH(C13,'Plan de obra'!$A$10:$A$29,0)))</f>
        <v/>
      </c>
      <c r="F13" s="4" t="n"/>
      <c r="G13" s="11">
        <f>IF(C13="","",INDEX('Plan de obra'!$F$10:$F$29,MATCH(C13,'Plan de obra'!$A$10:$A$29,0)))</f>
        <v/>
      </c>
      <c r="H13" s="11">
        <f>IF(OR(C13="",F13=""),"",F13*G13)</f>
        <v/>
      </c>
      <c r="I13" s="4" t="n"/>
      <c r="J13" s="4" t="n"/>
      <c r="K13" s="4" t="n"/>
    </row>
    <row r="14">
      <c r="A14" s="14" t="n"/>
      <c r="B14" s="4" t="n"/>
      <c r="C14" s="4" t="n"/>
      <c r="D14" s="15">
        <f>IF(C14="","",INDEX('Plan de obra'!$B$10:$B$29,MATCH(C14,'Plan de obra'!$A$10:$A$29,0)))</f>
        <v/>
      </c>
      <c r="E14" s="15">
        <f>IF(C14="","",INDEX('Plan de obra'!$D$10:$D$29,MATCH(C14,'Plan de obra'!$A$10:$A$29,0)))</f>
        <v/>
      </c>
      <c r="F14" s="4" t="n"/>
      <c r="G14" s="11">
        <f>IF(C14="","",INDEX('Plan de obra'!$F$10:$F$29,MATCH(C14,'Plan de obra'!$A$10:$A$29,0)))</f>
        <v/>
      </c>
      <c r="H14" s="11">
        <f>IF(OR(C14="",F14=""),"",F14*G14)</f>
        <v/>
      </c>
      <c r="I14" s="4" t="n"/>
      <c r="J14" s="4" t="n"/>
      <c r="K14" s="4" t="n"/>
    </row>
    <row r="15">
      <c r="A15" s="14" t="n"/>
      <c r="B15" s="4" t="n"/>
      <c r="C15" s="4" t="n"/>
      <c r="D15" s="15">
        <f>IF(C15="","",INDEX('Plan de obra'!$B$10:$B$29,MATCH(C15,'Plan de obra'!$A$10:$A$29,0)))</f>
        <v/>
      </c>
      <c r="E15" s="15">
        <f>IF(C15="","",INDEX('Plan de obra'!$D$10:$D$29,MATCH(C15,'Plan de obra'!$A$10:$A$29,0)))</f>
        <v/>
      </c>
      <c r="F15" s="4" t="n"/>
      <c r="G15" s="11">
        <f>IF(C15="","",INDEX('Plan de obra'!$F$10:$F$29,MATCH(C15,'Plan de obra'!$A$10:$A$29,0)))</f>
        <v/>
      </c>
      <c r="H15" s="11">
        <f>IF(OR(C15="",F15=""),"",F15*G15)</f>
        <v/>
      </c>
      <c r="I15" s="4" t="n"/>
      <c r="J15" s="4" t="n"/>
      <c r="K15" s="4" t="n"/>
    </row>
    <row r="16">
      <c r="A16" s="14" t="n"/>
      <c r="B16" s="4" t="n"/>
      <c r="C16" s="4" t="n"/>
      <c r="D16" s="15">
        <f>IF(C16="","",INDEX('Plan de obra'!$B$10:$B$29,MATCH(C16,'Plan de obra'!$A$10:$A$29,0)))</f>
        <v/>
      </c>
      <c r="E16" s="15">
        <f>IF(C16="","",INDEX('Plan de obra'!$D$10:$D$29,MATCH(C16,'Plan de obra'!$A$10:$A$29,0)))</f>
        <v/>
      </c>
      <c r="F16" s="4" t="n"/>
      <c r="G16" s="11">
        <f>IF(C16="","",INDEX('Plan de obra'!$F$10:$F$29,MATCH(C16,'Plan de obra'!$A$10:$A$29,0)))</f>
        <v/>
      </c>
      <c r="H16" s="11">
        <f>IF(OR(C16="",F16=""),"",F16*G16)</f>
        <v/>
      </c>
      <c r="I16" s="4" t="n"/>
      <c r="J16" s="4" t="n"/>
      <c r="K16" s="4" t="n"/>
    </row>
    <row r="17">
      <c r="A17" s="14" t="n"/>
      <c r="B17" s="4" t="n"/>
      <c r="C17" s="4" t="n"/>
      <c r="D17" s="15">
        <f>IF(C17="","",INDEX('Plan de obra'!$B$10:$B$29,MATCH(C17,'Plan de obra'!$A$10:$A$29,0)))</f>
        <v/>
      </c>
      <c r="E17" s="15">
        <f>IF(C17="","",INDEX('Plan de obra'!$D$10:$D$29,MATCH(C17,'Plan de obra'!$A$10:$A$29,0)))</f>
        <v/>
      </c>
      <c r="F17" s="4" t="n"/>
      <c r="G17" s="11">
        <f>IF(C17="","",INDEX('Plan de obra'!$F$10:$F$29,MATCH(C17,'Plan de obra'!$A$10:$A$29,0)))</f>
        <v/>
      </c>
      <c r="H17" s="11">
        <f>IF(OR(C17="",F17=""),"",F17*G17)</f>
        <v/>
      </c>
      <c r="I17" s="4" t="n"/>
      <c r="J17" s="4" t="n"/>
      <c r="K17" s="4" t="n"/>
    </row>
    <row r="18">
      <c r="A18" s="14" t="n"/>
      <c r="B18" s="4" t="n"/>
      <c r="C18" s="4" t="n"/>
      <c r="D18" s="15">
        <f>IF(C18="","",INDEX('Plan de obra'!$B$10:$B$29,MATCH(C18,'Plan de obra'!$A$10:$A$29,0)))</f>
        <v/>
      </c>
      <c r="E18" s="15">
        <f>IF(C18="","",INDEX('Plan de obra'!$D$10:$D$29,MATCH(C18,'Plan de obra'!$A$10:$A$29,0)))</f>
        <v/>
      </c>
      <c r="F18" s="4" t="n"/>
      <c r="G18" s="11">
        <f>IF(C18="","",INDEX('Plan de obra'!$F$10:$F$29,MATCH(C18,'Plan de obra'!$A$10:$A$29,0)))</f>
        <v/>
      </c>
      <c r="H18" s="11">
        <f>IF(OR(C18="",F18=""),"",F18*G18)</f>
        <v/>
      </c>
      <c r="I18" s="4" t="n"/>
      <c r="J18" s="4" t="n"/>
      <c r="K18" s="4" t="n"/>
    </row>
    <row r="19">
      <c r="A19" s="14" t="n"/>
      <c r="B19" s="4" t="n"/>
      <c r="C19" s="4" t="n"/>
      <c r="D19" s="15">
        <f>IF(C19="","",INDEX('Plan de obra'!$B$10:$B$29,MATCH(C19,'Plan de obra'!$A$10:$A$29,0)))</f>
        <v/>
      </c>
      <c r="E19" s="15">
        <f>IF(C19="","",INDEX('Plan de obra'!$D$10:$D$29,MATCH(C19,'Plan de obra'!$A$10:$A$29,0)))</f>
        <v/>
      </c>
      <c r="F19" s="4" t="n"/>
      <c r="G19" s="11">
        <f>IF(C19="","",INDEX('Plan de obra'!$F$10:$F$29,MATCH(C19,'Plan de obra'!$A$10:$A$29,0)))</f>
        <v/>
      </c>
      <c r="H19" s="11">
        <f>IF(OR(C19="",F19=""),"",F19*G19)</f>
        <v/>
      </c>
      <c r="I19" s="4" t="n"/>
      <c r="J19" s="4" t="n"/>
      <c r="K19" s="4" t="n"/>
    </row>
    <row r="20">
      <c r="A20" s="14" t="n"/>
      <c r="B20" s="4" t="n"/>
      <c r="C20" s="4" t="n"/>
      <c r="D20" s="15">
        <f>IF(C20="","",INDEX('Plan de obra'!$B$10:$B$29,MATCH(C20,'Plan de obra'!$A$10:$A$29,0)))</f>
        <v/>
      </c>
      <c r="E20" s="15">
        <f>IF(C20="","",INDEX('Plan de obra'!$D$10:$D$29,MATCH(C20,'Plan de obra'!$A$10:$A$29,0)))</f>
        <v/>
      </c>
      <c r="F20" s="4" t="n"/>
      <c r="G20" s="11">
        <f>IF(C20="","",INDEX('Plan de obra'!$F$10:$F$29,MATCH(C20,'Plan de obra'!$A$10:$A$29,0)))</f>
        <v/>
      </c>
      <c r="H20" s="11">
        <f>IF(OR(C20="",F20=""),"",F20*G20)</f>
        <v/>
      </c>
      <c r="I20" s="4" t="n"/>
      <c r="J20" s="4" t="n"/>
      <c r="K20" s="4" t="n"/>
    </row>
    <row r="21">
      <c r="A21" s="14" t="n"/>
      <c r="B21" s="4" t="n"/>
      <c r="C21" s="4" t="n"/>
      <c r="D21" s="15">
        <f>IF(C21="","",INDEX('Plan de obra'!$B$10:$B$29,MATCH(C21,'Plan de obra'!$A$10:$A$29,0)))</f>
        <v/>
      </c>
      <c r="E21" s="15">
        <f>IF(C21="","",INDEX('Plan de obra'!$D$10:$D$29,MATCH(C21,'Plan de obra'!$A$10:$A$29,0)))</f>
        <v/>
      </c>
      <c r="F21" s="4" t="n"/>
      <c r="G21" s="11">
        <f>IF(C21="","",INDEX('Plan de obra'!$F$10:$F$29,MATCH(C21,'Plan de obra'!$A$10:$A$29,0)))</f>
        <v/>
      </c>
      <c r="H21" s="11">
        <f>IF(OR(C21="",F21=""),"",F21*G21)</f>
        <v/>
      </c>
      <c r="I21" s="4" t="n"/>
      <c r="J21" s="4" t="n"/>
      <c r="K21" s="4" t="n"/>
    </row>
    <row r="22">
      <c r="A22" s="14" t="n"/>
      <c r="B22" s="4" t="n"/>
      <c r="C22" s="4" t="n"/>
      <c r="D22" s="15">
        <f>IF(C22="","",INDEX('Plan de obra'!$B$10:$B$29,MATCH(C22,'Plan de obra'!$A$10:$A$29,0)))</f>
        <v/>
      </c>
      <c r="E22" s="15">
        <f>IF(C22="","",INDEX('Plan de obra'!$D$10:$D$29,MATCH(C22,'Plan de obra'!$A$10:$A$29,0)))</f>
        <v/>
      </c>
      <c r="F22" s="4" t="n"/>
      <c r="G22" s="11">
        <f>IF(C22="","",INDEX('Plan de obra'!$F$10:$F$29,MATCH(C22,'Plan de obra'!$A$10:$A$29,0)))</f>
        <v/>
      </c>
      <c r="H22" s="11">
        <f>IF(OR(C22="",F22=""),"",F22*G22)</f>
        <v/>
      </c>
      <c r="I22" s="4" t="n"/>
      <c r="J22" s="4" t="n"/>
      <c r="K22" s="4" t="n"/>
    </row>
    <row r="23">
      <c r="A23" s="14" t="n"/>
      <c r="B23" s="4" t="n"/>
      <c r="C23" s="4" t="n"/>
      <c r="D23" s="15">
        <f>IF(C23="","",INDEX('Plan de obra'!$B$10:$B$29,MATCH(C23,'Plan de obra'!$A$10:$A$29,0)))</f>
        <v/>
      </c>
      <c r="E23" s="15">
        <f>IF(C23="","",INDEX('Plan de obra'!$D$10:$D$29,MATCH(C23,'Plan de obra'!$A$10:$A$29,0)))</f>
        <v/>
      </c>
      <c r="F23" s="4" t="n"/>
      <c r="G23" s="11">
        <f>IF(C23="","",INDEX('Plan de obra'!$F$10:$F$29,MATCH(C23,'Plan de obra'!$A$10:$A$29,0)))</f>
        <v/>
      </c>
      <c r="H23" s="11">
        <f>IF(OR(C23="",F23=""),"",F23*G23)</f>
        <v/>
      </c>
      <c r="I23" s="4" t="n"/>
      <c r="J23" s="4" t="n"/>
      <c r="K23" s="4" t="n"/>
    </row>
    <row r="24">
      <c r="A24" s="14" t="n"/>
      <c r="B24" s="4" t="n"/>
      <c r="C24" s="4" t="n"/>
      <c r="D24" s="15">
        <f>IF(C24="","",INDEX('Plan de obra'!$B$10:$B$29,MATCH(C24,'Plan de obra'!$A$10:$A$29,0)))</f>
        <v/>
      </c>
      <c r="E24" s="15">
        <f>IF(C24="","",INDEX('Plan de obra'!$D$10:$D$29,MATCH(C24,'Plan de obra'!$A$10:$A$29,0)))</f>
        <v/>
      </c>
      <c r="F24" s="4" t="n"/>
      <c r="G24" s="11">
        <f>IF(C24="","",INDEX('Plan de obra'!$F$10:$F$29,MATCH(C24,'Plan de obra'!$A$10:$A$29,0)))</f>
        <v/>
      </c>
      <c r="H24" s="11">
        <f>IF(OR(C24="",F24=""),"",F24*G24)</f>
        <v/>
      </c>
      <c r="I24" s="4" t="n"/>
      <c r="J24" s="4" t="n"/>
      <c r="K24" s="4" t="n"/>
    </row>
    <row r="25">
      <c r="A25" s="14" t="n"/>
      <c r="B25" s="4" t="n"/>
      <c r="C25" s="4" t="n"/>
      <c r="D25" s="15">
        <f>IF(C25="","",INDEX('Plan de obra'!$B$10:$B$29,MATCH(C25,'Plan de obra'!$A$10:$A$29,0)))</f>
        <v/>
      </c>
      <c r="E25" s="15">
        <f>IF(C25="","",INDEX('Plan de obra'!$D$10:$D$29,MATCH(C25,'Plan de obra'!$A$10:$A$29,0)))</f>
        <v/>
      </c>
      <c r="F25" s="4" t="n"/>
      <c r="G25" s="11">
        <f>IF(C25="","",INDEX('Plan de obra'!$F$10:$F$29,MATCH(C25,'Plan de obra'!$A$10:$A$29,0)))</f>
        <v/>
      </c>
      <c r="H25" s="11">
        <f>IF(OR(C25="",F25=""),"",F25*G25)</f>
        <v/>
      </c>
      <c r="I25" s="4" t="n"/>
      <c r="J25" s="4" t="n"/>
      <c r="K25" s="4" t="n"/>
    </row>
    <row r="26">
      <c r="A26" s="14" t="n"/>
      <c r="B26" s="4" t="n"/>
      <c r="C26" s="4" t="n"/>
      <c r="D26" s="15">
        <f>IF(C26="","",INDEX('Plan de obra'!$B$10:$B$29,MATCH(C26,'Plan de obra'!$A$10:$A$29,0)))</f>
        <v/>
      </c>
      <c r="E26" s="15">
        <f>IF(C26="","",INDEX('Plan de obra'!$D$10:$D$29,MATCH(C26,'Plan de obra'!$A$10:$A$29,0)))</f>
        <v/>
      </c>
      <c r="F26" s="4" t="n"/>
      <c r="G26" s="11">
        <f>IF(C26="","",INDEX('Plan de obra'!$F$10:$F$29,MATCH(C26,'Plan de obra'!$A$10:$A$29,0)))</f>
        <v/>
      </c>
      <c r="H26" s="11">
        <f>IF(OR(C26="",F26=""),"",F26*G26)</f>
        <v/>
      </c>
      <c r="I26" s="4" t="n"/>
      <c r="J26" s="4" t="n"/>
      <c r="K26" s="4" t="n"/>
    </row>
    <row r="27">
      <c r="A27" s="14" t="n"/>
      <c r="B27" s="4" t="n"/>
      <c r="C27" s="4" t="n"/>
      <c r="D27" s="15">
        <f>IF(C27="","",INDEX('Plan de obra'!$B$10:$B$29,MATCH(C27,'Plan de obra'!$A$10:$A$29,0)))</f>
        <v/>
      </c>
      <c r="E27" s="15">
        <f>IF(C27="","",INDEX('Plan de obra'!$D$10:$D$29,MATCH(C27,'Plan de obra'!$A$10:$A$29,0)))</f>
        <v/>
      </c>
      <c r="F27" s="4" t="n"/>
      <c r="G27" s="11">
        <f>IF(C27="","",INDEX('Plan de obra'!$F$10:$F$29,MATCH(C27,'Plan de obra'!$A$10:$A$29,0)))</f>
        <v/>
      </c>
      <c r="H27" s="11">
        <f>IF(OR(C27="",F27=""),"",F27*G27)</f>
        <v/>
      </c>
      <c r="I27" s="4" t="n"/>
      <c r="J27" s="4" t="n"/>
      <c r="K27" s="4" t="n"/>
    </row>
    <row r="28">
      <c r="A28" s="14" t="n"/>
      <c r="B28" s="4" t="n"/>
      <c r="C28" s="4" t="n"/>
      <c r="D28" s="15">
        <f>IF(C28="","",INDEX('Plan de obra'!$B$10:$B$29,MATCH(C28,'Plan de obra'!$A$10:$A$29,0)))</f>
        <v/>
      </c>
      <c r="E28" s="15">
        <f>IF(C28="","",INDEX('Plan de obra'!$D$10:$D$29,MATCH(C28,'Plan de obra'!$A$10:$A$29,0)))</f>
        <v/>
      </c>
      <c r="F28" s="4" t="n"/>
      <c r="G28" s="11">
        <f>IF(C28="","",INDEX('Plan de obra'!$F$10:$F$29,MATCH(C28,'Plan de obra'!$A$10:$A$29,0)))</f>
        <v/>
      </c>
      <c r="H28" s="11">
        <f>IF(OR(C28="",F28=""),"",F28*G28)</f>
        <v/>
      </c>
      <c r="I28" s="4" t="n"/>
      <c r="J28" s="4" t="n"/>
      <c r="K28" s="4" t="n"/>
    </row>
    <row r="29">
      <c r="A29" s="14" t="n"/>
      <c r="B29" s="4" t="n"/>
      <c r="C29" s="4" t="n"/>
      <c r="D29" s="15">
        <f>IF(C29="","",INDEX('Plan de obra'!$B$10:$B$29,MATCH(C29,'Plan de obra'!$A$10:$A$29,0)))</f>
        <v/>
      </c>
      <c r="E29" s="15">
        <f>IF(C29="","",INDEX('Plan de obra'!$D$10:$D$29,MATCH(C29,'Plan de obra'!$A$10:$A$29,0)))</f>
        <v/>
      </c>
      <c r="F29" s="4" t="n"/>
      <c r="G29" s="11">
        <f>IF(C29="","",INDEX('Plan de obra'!$F$10:$F$29,MATCH(C29,'Plan de obra'!$A$10:$A$29,0)))</f>
        <v/>
      </c>
      <c r="H29" s="11">
        <f>IF(OR(C29="",F29=""),"",F29*G29)</f>
        <v/>
      </c>
      <c r="I29" s="4" t="n"/>
      <c r="J29" s="4" t="n"/>
      <c r="K29" s="4" t="n"/>
    </row>
    <row r="30">
      <c r="A30" s="14" t="n"/>
      <c r="B30" s="4" t="n"/>
      <c r="C30" s="4" t="n"/>
      <c r="D30" s="15">
        <f>IF(C30="","",INDEX('Plan de obra'!$B$10:$B$29,MATCH(C30,'Plan de obra'!$A$10:$A$29,0)))</f>
        <v/>
      </c>
      <c r="E30" s="15">
        <f>IF(C30="","",INDEX('Plan de obra'!$D$10:$D$29,MATCH(C30,'Plan de obra'!$A$10:$A$29,0)))</f>
        <v/>
      </c>
      <c r="F30" s="4" t="n"/>
      <c r="G30" s="11">
        <f>IF(C30="","",INDEX('Plan de obra'!$F$10:$F$29,MATCH(C30,'Plan de obra'!$A$10:$A$29,0)))</f>
        <v/>
      </c>
      <c r="H30" s="11">
        <f>IF(OR(C30="",F30=""),"",F30*G30)</f>
        <v/>
      </c>
      <c r="I30" s="4" t="n"/>
      <c r="J30" s="4" t="n"/>
      <c r="K30" s="4" t="n"/>
    </row>
    <row r="31">
      <c r="A31" s="14" t="n"/>
      <c r="B31" s="4" t="n"/>
      <c r="C31" s="4" t="n"/>
      <c r="D31" s="15">
        <f>IF(C31="","",INDEX('Plan de obra'!$B$10:$B$29,MATCH(C31,'Plan de obra'!$A$10:$A$29,0)))</f>
        <v/>
      </c>
      <c r="E31" s="15">
        <f>IF(C31="","",INDEX('Plan de obra'!$D$10:$D$29,MATCH(C31,'Plan de obra'!$A$10:$A$29,0)))</f>
        <v/>
      </c>
      <c r="F31" s="4" t="n"/>
      <c r="G31" s="11">
        <f>IF(C31="","",INDEX('Plan de obra'!$F$10:$F$29,MATCH(C31,'Plan de obra'!$A$10:$A$29,0)))</f>
        <v/>
      </c>
      <c r="H31" s="11">
        <f>IF(OR(C31="",F31=""),"",F31*G31)</f>
        <v/>
      </c>
      <c r="I31" s="4" t="n"/>
      <c r="J31" s="4" t="n"/>
      <c r="K31" s="4" t="n"/>
    </row>
    <row r="32">
      <c r="A32" s="14" t="n"/>
      <c r="B32" s="4" t="n"/>
      <c r="C32" s="4" t="n"/>
      <c r="D32" s="15">
        <f>IF(C32="","",INDEX('Plan de obra'!$B$10:$B$29,MATCH(C32,'Plan de obra'!$A$10:$A$29,0)))</f>
        <v/>
      </c>
      <c r="E32" s="15">
        <f>IF(C32="","",INDEX('Plan de obra'!$D$10:$D$29,MATCH(C32,'Plan de obra'!$A$10:$A$29,0)))</f>
        <v/>
      </c>
      <c r="F32" s="4" t="n"/>
      <c r="G32" s="11">
        <f>IF(C32="","",INDEX('Plan de obra'!$F$10:$F$29,MATCH(C32,'Plan de obra'!$A$10:$A$29,0)))</f>
        <v/>
      </c>
      <c r="H32" s="11">
        <f>IF(OR(C32="",F32=""),"",F32*G32)</f>
        <v/>
      </c>
      <c r="I32" s="4" t="n"/>
      <c r="J32" s="4" t="n"/>
      <c r="K32" s="4" t="n"/>
    </row>
    <row r="33">
      <c r="A33" s="14" t="n"/>
      <c r="B33" s="4" t="n"/>
      <c r="C33" s="4" t="n"/>
      <c r="D33" s="15">
        <f>IF(C33="","",INDEX('Plan de obra'!$B$10:$B$29,MATCH(C33,'Plan de obra'!$A$10:$A$29,0)))</f>
        <v/>
      </c>
      <c r="E33" s="15">
        <f>IF(C33="","",INDEX('Plan de obra'!$D$10:$D$29,MATCH(C33,'Plan de obra'!$A$10:$A$29,0)))</f>
        <v/>
      </c>
      <c r="F33" s="4" t="n"/>
      <c r="G33" s="11">
        <f>IF(C33="","",INDEX('Plan de obra'!$F$10:$F$29,MATCH(C33,'Plan de obra'!$A$10:$A$29,0)))</f>
        <v/>
      </c>
      <c r="H33" s="11">
        <f>IF(OR(C33="",F33=""),"",F33*G33)</f>
        <v/>
      </c>
      <c r="I33" s="4" t="n"/>
      <c r="J33" s="4" t="n"/>
      <c r="K33" s="4" t="n"/>
    </row>
    <row r="34">
      <c r="A34" s="14" t="n"/>
      <c r="B34" s="4" t="n"/>
      <c r="C34" s="4" t="n"/>
      <c r="D34" s="15">
        <f>IF(C34="","",INDEX('Plan de obra'!$B$10:$B$29,MATCH(C34,'Plan de obra'!$A$10:$A$29,0)))</f>
        <v/>
      </c>
      <c r="E34" s="15">
        <f>IF(C34="","",INDEX('Plan de obra'!$D$10:$D$29,MATCH(C34,'Plan de obra'!$A$10:$A$29,0)))</f>
        <v/>
      </c>
      <c r="F34" s="4" t="n"/>
      <c r="G34" s="11">
        <f>IF(C34="","",INDEX('Plan de obra'!$F$10:$F$29,MATCH(C34,'Plan de obra'!$A$10:$A$29,0)))</f>
        <v/>
      </c>
      <c r="H34" s="11">
        <f>IF(OR(C34="",F34=""),"",F34*G34)</f>
        <v/>
      </c>
      <c r="I34" s="4" t="n"/>
      <c r="J34" s="4" t="n"/>
      <c r="K34" s="4" t="n"/>
    </row>
    <row r="35">
      <c r="A35" s="14" t="n"/>
      <c r="B35" s="4" t="n"/>
      <c r="C35" s="4" t="n"/>
      <c r="D35" s="15">
        <f>IF(C35="","",INDEX('Plan de obra'!$B$10:$B$29,MATCH(C35,'Plan de obra'!$A$10:$A$29,0)))</f>
        <v/>
      </c>
      <c r="E35" s="15">
        <f>IF(C35="","",INDEX('Plan de obra'!$D$10:$D$29,MATCH(C35,'Plan de obra'!$A$10:$A$29,0)))</f>
        <v/>
      </c>
      <c r="F35" s="4" t="n"/>
      <c r="G35" s="11">
        <f>IF(C35="","",INDEX('Plan de obra'!$F$10:$F$29,MATCH(C35,'Plan de obra'!$A$10:$A$29,0)))</f>
        <v/>
      </c>
      <c r="H35" s="11">
        <f>IF(OR(C35="",F35=""),"",F35*G35)</f>
        <v/>
      </c>
      <c r="I35" s="4" t="n"/>
      <c r="J35" s="4" t="n"/>
      <c r="K35" s="4" t="n"/>
    </row>
    <row r="36">
      <c r="A36" s="14" t="n"/>
      <c r="B36" s="4" t="n"/>
      <c r="C36" s="4" t="n"/>
      <c r="D36" s="15">
        <f>IF(C36="","",INDEX('Plan de obra'!$B$10:$B$29,MATCH(C36,'Plan de obra'!$A$10:$A$29,0)))</f>
        <v/>
      </c>
      <c r="E36" s="15">
        <f>IF(C36="","",INDEX('Plan de obra'!$D$10:$D$29,MATCH(C36,'Plan de obra'!$A$10:$A$29,0)))</f>
        <v/>
      </c>
      <c r="F36" s="4" t="n"/>
      <c r="G36" s="11">
        <f>IF(C36="","",INDEX('Plan de obra'!$F$10:$F$29,MATCH(C36,'Plan de obra'!$A$10:$A$29,0)))</f>
        <v/>
      </c>
      <c r="H36" s="11">
        <f>IF(OR(C36="",F36=""),"",F36*G36)</f>
        <v/>
      </c>
      <c r="I36" s="4" t="n"/>
      <c r="J36" s="4" t="n"/>
      <c r="K36" s="4" t="n"/>
    </row>
    <row r="37">
      <c r="A37" s="14" t="n"/>
      <c r="B37" s="4" t="n"/>
      <c r="C37" s="4" t="n"/>
      <c r="D37" s="15">
        <f>IF(C37="","",INDEX('Plan de obra'!$B$10:$B$29,MATCH(C37,'Plan de obra'!$A$10:$A$29,0)))</f>
        <v/>
      </c>
      <c r="E37" s="15">
        <f>IF(C37="","",INDEX('Plan de obra'!$D$10:$D$29,MATCH(C37,'Plan de obra'!$A$10:$A$29,0)))</f>
        <v/>
      </c>
      <c r="F37" s="4" t="n"/>
      <c r="G37" s="11">
        <f>IF(C37="","",INDEX('Plan de obra'!$F$10:$F$29,MATCH(C37,'Plan de obra'!$A$10:$A$29,0)))</f>
        <v/>
      </c>
      <c r="H37" s="11">
        <f>IF(OR(C37="",F37=""),"",F37*G37)</f>
        <v/>
      </c>
      <c r="I37" s="4" t="n"/>
      <c r="J37" s="4" t="n"/>
      <c r="K37" s="4" t="n"/>
    </row>
    <row r="38">
      <c r="A38" s="14" t="n"/>
      <c r="B38" s="4" t="n"/>
      <c r="C38" s="4" t="n"/>
      <c r="D38" s="15">
        <f>IF(C38="","",INDEX('Plan de obra'!$B$10:$B$29,MATCH(C38,'Plan de obra'!$A$10:$A$29,0)))</f>
        <v/>
      </c>
      <c r="E38" s="15">
        <f>IF(C38="","",INDEX('Plan de obra'!$D$10:$D$29,MATCH(C38,'Plan de obra'!$A$10:$A$29,0)))</f>
        <v/>
      </c>
      <c r="F38" s="4" t="n"/>
      <c r="G38" s="11">
        <f>IF(C38="","",INDEX('Plan de obra'!$F$10:$F$29,MATCH(C38,'Plan de obra'!$A$10:$A$29,0)))</f>
        <v/>
      </c>
      <c r="H38" s="11">
        <f>IF(OR(C38="",F38=""),"",F38*G38)</f>
        <v/>
      </c>
      <c r="I38" s="4" t="n"/>
      <c r="J38" s="4" t="n"/>
      <c r="K38" s="4" t="n"/>
    </row>
    <row r="39">
      <c r="A39" s="14" t="n"/>
      <c r="B39" s="4" t="n"/>
      <c r="C39" s="4" t="n"/>
      <c r="D39" s="15">
        <f>IF(C39="","",INDEX('Plan de obra'!$B$10:$B$29,MATCH(C39,'Plan de obra'!$A$10:$A$29,0)))</f>
        <v/>
      </c>
      <c r="E39" s="15">
        <f>IF(C39="","",INDEX('Plan de obra'!$D$10:$D$29,MATCH(C39,'Plan de obra'!$A$10:$A$29,0)))</f>
        <v/>
      </c>
      <c r="F39" s="4" t="n"/>
      <c r="G39" s="11">
        <f>IF(C39="","",INDEX('Plan de obra'!$F$10:$F$29,MATCH(C39,'Plan de obra'!$A$10:$A$29,0)))</f>
        <v/>
      </c>
      <c r="H39" s="11">
        <f>IF(OR(C39="",F39=""),"",F39*G39)</f>
        <v/>
      </c>
      <c r="I39" s="4" t="n"/>
      <c r="J39" s="4" t="n"/>
      <c r="K39" s="4" t="n"/>
    </row>
    <row r="40">
      <c r="A40" s="14" t="n"/>
      <c r="B40" s="4" t="n"/>
      <c r="C40" s="4" t="n"/>
      <c r="D40" s="15">
        <f>IF(C40="","",INDEX('Plan de obra'!$B$10:$B$29,MATCH(C40,'Plan de obra'!$A$10:$A$29,0)))</f>
        <v/>
      </c>
      <c r="E40" s="15">
        <f>IF(C40="","",INDEX('Plan de obra'!$D$10:$D$29,MATCH(C40,'Plan de obra'!$A$10:$A$29,0)))</f>
        <v/>
      </c>
      <c r="F40" s="4" t="n"/>
      <c r="G40" s="11">
        <f>IF(C40="","",INDEX('Plan de obra'!$F$10:$F$29,MATCH(C40,'Plan de obra'!$A$10:$A$29,0)))</f>
        <v/>
      </c>
      <c r="H40" s="11">
        <f>IF(OR(C40="",F40=""),"",F40*G40)</f>
        <v/>
      </c>
      <c r="I40" s="4" t="n"/>
      <c r="J40" s="4" t="n"/>
      <c r="K40" s="4" t="n"/>
    </row>
    <row r="41">
      <c r="A41" s="14" t="n"/>
      <c r="B41" s="4" t="n"/>
      <c r="C41" s="4" t="n"/>
      <c r="D41" s="15">
        <f>IF(C41="","",INDEX('Plan de obra'!$B$10:$B$29,MATCH(C41,'Plan de obra'!$A$10:$A$29,0)))</f>
        <v/>
      </c>
      <c r="E41" s="15">
        <f>IF(C41="","",INDEX('Plan de obra'!$D$10:$D$29,MATCH(C41,'Plan de obra'!$A$10:$A$29,0)))</f>
        <v/>
      </c>
      <c r="F41" s="4" t="n"/>
      <c r="G41" s="11">
        <f>IF(C41="","",INDEX('Plan de obra'!$F$10:$F$29,MATCH(C41,'Plan de obra'!$A$10:$A$29,0)))</f>
        <v/>
      </c>
      <c r="H41" s="11">
        <f>IF(OR(C41="",F41=""),"",F41*G41)</f>
        <v/>
      </c>
      <c r="I41" s="4" t="n"/>
      <c r="J41" s="4" t="n"/>
      <c r="K41" s="4" t="n"/>
    </row>
    <row r="42">
      <c r="A42" s="14" t="n"/>
      <c r="B42" s="4" t="n"/>
      <c r="C42" s="4" t="n"/>
      <c r="D42" s="15">
        <f>IF(C42="","",INDEX('Plan de obra'!$B$10:$B$29,MATCH(C42,'Plan de obra'!$A$10:$A$29,0)))</f>
        <v/>
      </c>
      <c r="E42" s="15">
        <f>IF(C42="","",INDEX('Plan de obra'!$D$10:$D$29,MATCH(C42,'Plan de obra'!$A$10:$A$29,0)))</f>
        <v/>
      </c>
      <c r="F42" s="4" t="n"/>
      <c r="G42" s="11">
        <f>IF(C42="","",INDEX('Plan de obra'!$F$10:$F$29,MATCH(C42,'Plan de obra'!$A$10:$A$29,0)))</f>
        <v/>
      </c>
      <c r="H42" s="11">
        <f>IF(OR(C42="",F42=""),"",F42*G42)</f>
        <v/>
      </c>
      <c r="I42" s="4" t="n"/>
      <c r="J42" s="4" t="n"/>
      <c r="K42" s="4" t="n"/>
    </row>
    <row r="43">
      <c r="A43" s="14" t="n"/>
      <c r="B43" s="4" t="n"/>
      <c r="C43" s="4" t="n"/>
      <c r="D43" s="15">
        <f>IF(C43="","",INDEX('Plan de obra'!$B$10:$B$29,MATCH(C43,'Plan de obra'!$A$10:$A$29,0)))</f>
        <v/>
      </c>
      <c r="E43" s="15">
        <f>IF(C43="","",INDEX('Plan de obra'!$D$10:$D$29,MATCH(C43,'Plan de obra'!$A$10:$A$29,0)))</f>
        <v/>
      </c>
      <c r="F43" s="4" t="n"/>
      <c r="G43" s="11">
        <f>IF(C43="","",INDEX('Plan de obra'!$F$10:$F$29,MATCH(C43,'Plan de obra'!$A$10:$A$29,0)))</f>
        <v/>
      </c>
      <c r="H43" s="11">
        <f>IF(OR(C43="",F43=""),"",F43*G43)</f>
        <v/>
      </c>
      <c r="I43" s="4" t="n"/>
      <c r="J43" s="4" t="n"/>
      <c r="K43" s="4" t="n"/>
    </row>
    <row r="44">
      <c r="A44" s="14" t="n"/>
      <c r="B44" s="4" t="n"/>
      <c r="C44" s="4" t="n"/>
      <c r="D44" s="15">
        <f>IF(C44="","",INDEX('Plan de obra'!$B$10:$B$29,MATCH(C44,'Plan de obra'!$A$10:$A$29,0)))</f>
        <v/>
      </c>
      <c r="E44" s="15">
        <f>IF(C44="","",INDEX('Plan de obra'!$D$10:$D$29,MATCH(C44,'Plan de obra'!$A$10:$A$29,0)))</f>
        <v/>
      </c>
      <c r="F44" s="4" t="n"/>
      <c r="G44" s="11">
        <f>IF(C44="","",INDEX('Plan de obra'!$F$10:$F$29,MATCH(C44,'Plan de obra'!$A$10:$A$29,0)))</f>
        <v/>
      </c>
      <c r="H44" s="11">
        <f>IF(OR(C44="",F44=""),"",F44*G44)</f>
        <v/>
      </c>
      <c r="I44" s="4" t="n"/>
      <c r="J44" s="4" t="n"/>
      <c r="K44" s="4" t="n"/>
    </row>
    <row r="45">
      <c r="A45" s="14" t="n"/>
      <c r="B45" s="4" t="n"/>
      <c r="C45" s="4" t="n"/>
      <c r="D45" s="15">
        <f>IF(C45="","",INDEX('Plan de obra'!$B$10:$B$29,MATCH(C45,'Plan de obra'!$A$10:$A$29,0)))</f>
        <v/>
      </c>
      <c r="E45" s="15">
        <f>IF(C45="","",INDEX('Plan de obra'!$D$10:$D$29,MATCH(C45,'Plan de obra'!$A$10:$A$29,0)))</f>
        <v/>
      </c>
      <c r="F45" s="4" t="n"/>
      <c r="G45" s="11">
        <f>IF(C45="","",INDEX('Plan de obra'!$F$10:$F$29,MATCH(C45,'Plan de obra'!$A$10:$A$29,0)))</f>
        <v/>
      </c>
      <c r="H45" s="11">
        <f>IF(OR(C45="",F45=""),"",F45*G45)</f>
        <v/>
      </c>
      <c r="I45" s="4" t="n"/>
      <c r="J45" s="4" t="n"/>
      <c r="K45" s="4" t="n"/>
    </row>
    <row r="46">
      <c r="A46" s="14" t="n"/>
      <c r="B46" s="4" t="n"/>
      <c r="C46" s="4" t="n"/>
      <c r="D46" s="15">
        <f>IF(C46="","",INDEX('Plan de obra'!$B$10:$B$29,MATCH(C46,'Plan de obra'!$A$10:$A$29,0)))</f>
        <v/>
      </c>
      <c r="E46" s="15">
        <f>IF(C46="","",INDEX('Plan de obra'!$D$10:$D$29,MATCH(C46,'Plan de obra'!$A$10:$A$29,0)))</f>
        <v/>
      </c>
      <c r="F46" s="4" t="n"/>
      <c r="G46" s="11">
        <f>IF(C46="","",INDEX('Plan de obra'!$F$10:$F$29,MATCH(C46,'Plan de obra'!$A$10:$A$29,0)))</f>
        <v/>
      </c>
      <c r="H46" s="11">
        <f>IF(OR(C46="",F46=""),"",F46*G46)</f>
        <v/>
      </c>
      <c r="I46" s="4" t="n"/>
      <c r="J46" s="4" t="n"/>
      <c r="K46" s="4" t="n"/>
    </row>
    <row r="47">
      <c r="A47" s="14" t="n"/>
      <c r="B47" s="4" t="n"/>
      <c r="C47" s="4" t="n"/>
      <c r="D47" s="15">
        <f>IF(C47="","",INDEX('Plan de obra'!$B$10:$B$29,MATCH(C47,'Plan de obra'!$A$10:$A$29,0)))</f>
        <v/>
      </c>
      <c r="E47" s="15">
        <f>IF(C47="","",INDEX('Plan de obra'!$D$10:$D$29,MATCH(C47,'Plan de obra'!$A$10:$A$29,0)))</f>
        <v/>
      </c>
      <c r="F47" s="4" t="n"/>
      <c r="G47" s="11">
        <f>IF(C47="","",INDEX('Plan de obra'!$F$10:$F$29,MATCH(C47,'Plan de obra'!$A$10:$A$29,0)))</f>
        <v/>
      </c>
      <c r="H47" s="11">
        <f>IF(OR(C47="",F47=""),"",F47*G47)</f>
        <v/>
      </c>
      <c r="I47" s="4" t="n"/>
      <c r="J47" s="4" t="n"/>
      <c r="K47" s="4" t="n"/>
    </row>
    <row r="48">
      <c r="A48" s="14" t="n"/>
      <c r="B48" s="4" t="n"/>
      <c r="C48" s="4" t="n"/>
      <c r="D48" s="15">
        <f>IF(C48="","",INDEX('Plan de obra'!$B$10:$B$29,MATCH(C48,'Plan de obra'!$A$10:$A$29,0)))</f>
        <v/>
      </c>
      <c r="E48" s="15">
        <f>IF(C48="","",INDEX('Plan de obra'!$D$10:$D$29,MATCH(C48,'Plan de obra'!$A$10:$A$29,0)))</f>
        <v/>
      </c>
      <c r="F48" s="4" t="n"/>
      <c r="G48" s="11">
        <f>IF(C48="","",INDEX('Plan de obra'!$F$10:$F$29,MATCH(C48,'Plan de obra'!$A$10:$A$29,0)))</f>
        <v/>
      </c>
      <c r="H48" s="11">
        <f>IF(OR(C48="",F48=""),"",F48*G48)</f>
        <v/>
      </c>
      <c r="I48" s="4" t="n"/>
      <c r="J48" s="4" t="n"/>
      <c r="K48" s="4" t="n"/>
    </row>
    <row r="49">
      <c r="A49" s="14" t="n"/>
      <c r="B49" s="4" t="n"/>
      <c r="C49" s="4" t="n"/>
      <c r="D49" s="15">
        <f>IF(C49="","",INDEX('Plan de obra'!$B$10:$B$29,MATCH(C49,'Plan de obra'!$A$10:$A$29,0)))</f>
        <v/>
      </c>
      <c r="E49" s="15">
        <f>IF(C49="","",INDEX('Plan de obra'!$D$10:$D$29,MATCH(C49,'Plan de obra'!$A$10:$A$29,0)))</f>
        <v/>
      </c>
      <c r="F49" s="4" t="n"/>
      <c r="G49" s="11">
        <f>IF(C49="","",INDEX('Plan de obra'!$F$10:$F$29,MATCH(C49,'Plan de obra'!$A$10:$A$29,0)))</f>
        <v/>
      </c>
      <c r="H49" s="11">
        <f>IF(OR(C49="",F49=""),"",F49*G49)</f>
        <v/>
      </c>
      <c r="I49" s="4" t="n"/>
      <c r="J49" s="4" t="n"/>
      <c r="K49" s="4" t="n"/>
    </row>
    <row r="50">
      <c r="A50" s="14" t="n"/>
      <c r="B50" s="4" t="n"/>
      <c r="C50" s="4" t="n"/>
      <c r="D50" s="15">
        <f>IF(C50="","",INDEX('Plan de obra'!$B$10:$B$29,MATCH(C50,'Plan de obra'!$A$10:$A$29,0)))</f>
        <v/>
      </c>
      <c r="E50" s="15">
        <f>IF(C50="","",INDEX('Plan de obra'!$D$10:$D$29,MATCH(C50,'Plan de obra'!$A$10:$A$29,0)))</f>
        <v/>
      </c>
      <c r="F50" s="4" t="n"/>
      <c r="G50" s="11">
        <f>IF(C50="","",INDEX('Plan de obra'!$F$10:$F$29,MATCH(C50,'Plan de obra'!$A$10:$A$29,0)))</f>
        <v/>
      </c>
      <c r="H50" s="11">
        <f>IF(OR(C50="",F50=""),"",F50*G50)</f>
        <v/>
      </c>
      <c r="I50" s="4" t="n"/>
      <c r="J50" s="4" t="n"/>
      <c r="K50" s="4" t="n"/>
    </row>
    <row r="51">
      <c r="A51" s="14" t="n"/>
      <c r="B51" s="4" t="n"/>
      <c r="C51" s="4" t="n"/>
      <c r="D51" s="15">
        <f>IF(C51="","",INDEX('Plan de obra'!$B$10:$B$29,MATCH(C51,'Plan de obra'!$A$10:$A$29,0)))</f>
        <v/>
      </c>
      <c r="E51" s="15">
        <f>IF(C51="","",INDEX('Plan de obra'!$D$10:$D$29,MATCH(C51,'Plan de obra'!$A$10:$A$29,0)))</f>
        <v/>
      </c>
      <c r="F51" s="4" t="n"/>
      <c r="G51" s="11">
        <f>IF(C51="","",INDEX('Plan de obra'!$F$10:$F$29,MATCH(C51,'Plan de obra'!$A$10:$A$29,0)))</f>
        <v/>
      </c>
      <c r="H51" s="11">
        <f>IF(OR(C51="",F51=""),"",F51*G51)</f>
        <v/>
      </c>
      <c r="I51" s="4" t="n"/>
      <c r="J51" s="4" t="n"/>
      <c r="K51" s="4" t="n"/>
    </row>
    <row r="52">
      <c r="A52" s="14" t="n"/>
      <c r="B52" s="4" t="n"/>
      <c r="C52" s="4" t="n"/>
      <c r="D52" s="15">
        <f>IF(C52="","",INDEX('Plan de obra'!$B$10:$B$29,MATCH(C52,'Plan de obra'!$A$10:$A$29,0)))</f>
        <v/>
      </c>
      <c r="E52" s="15">
        <f>IF(C52="","",INDEX('Plan de obra'!$D$10:$D$29,MATCH(C52,'Plan de obra'!$A$10:$A$29,0)))</f>
        <v/>
      </c>
      <c r="F52" s="4" t="n"/>
      <c r="G52" s="11">
        <f>IF(C52="","",INDEX('Plan de obra'!$F$10:$F$29,MATCH(C52,'Plan de obra'!$A$10:$A$29,0)))</f>
        <v/>
      </c>
      <c r="H52" s="11">
        <f>IF(OR(C52="",F52=""),"",F52*G52)</f>
        <v/>
      </c>
      <c r="I52" s="4" t="n"/>
      <c r="J52" s="4" t="n"/>
      <c r="K52" s="4" t="n"/>
    </row>
    <row r="53">
      <c r="A53" s="14" t="n"/>
      <c r="B53" s="4" t="n"/>
      <c r="C53" s="4" t="n"/>
      <c r="D53" s="15">
        <f>IF(C53="","",INDEX('Plan de obra'!$B$10:$B$29,MATCH(C53,'Plan de obra'!$A$10:$A$29,0)))</f>
        <v/>
      </c>
      <c r="E53" s="15">
        <f>IF(C53="","",INDEX('Plan de obra'!$D$10:$D$29,MATCH(C53,'Plan de obra'!$A$10:$A$29,0)))</f>
        <v/>
      </c>
      <c r="F53" s="4" t="n"/>
      <c r="G53" s="11">
        <f>IF(C53="","",INDEX('Plan de obra'!$F$10:$F$29,MATCH(C53,'Plan de obra'!$A$10:$A$29,0)))</f>
        <v/>
      </c>
      <c r="H53" s="11">
        <f>IF(OR(C53="",F53=""),"",F53*G53)</f>
        <v/>
      </c>
      <c r="I53" s="4" t="n"/>
      <c r="J53" s="4" t="n"/>
      <c r="K53" s="4" t="n"/>
    </row>
    <row r="54">
      <c r="A54" s="14" t="n"/>
      <c r="B54" s="4" t="n"/>
      <c r="C54" s="4" t="n"/>
      <c r="D54" s="15">
        <f>IF(C54="","",INDEX('Plan de obra'!$B$10:$B$29,MATCH(C54,'Plan de obra'!$A$10:$A$29,0)))</f>
        <v/>
      </c>
      <c r="E54" s="15">
        <f>IF(C54="","",INDEX('Plan de obra'!$D$10:$D$29,MATCH(C54,'Plan de obra'!$A$10:$A$29,0)))</f>
        <v/>
      </c>
      <c r="F54" s="4" t="n"/>
      <c r="G54" s="11">
        <f>IF(C54="","",INDEX('Plan de obra'!$F$10:$F$29,MATCH(C54,'Plan de obra'!$A$10:$A$29,0)))</f>
        <v/>
      </c>
      <c r="H54" s="11">
        <f>IF(OR(C54="",F54=""),"",F54*G54)</f>
        <v/>
      </c>
      <c r="I54" s="4" t="n"/>
      <c r="J54" s="4" t="n"/>
      <c r="K54" s="4" t="n"/>
    </row>
    <row r="55">
      <c r="A55" s="14" t="n"/>
      <c r="B55" s="4" t="n"/>
      <c r="C55" s="4" t="n"/>
      <c r="D55" s="15">
        <f>IF(C55="","",INDEX('Plan de obra'!$B$10:$B$29,MATCH(C55,'Plan de obra'!$A$10:$A$29,0)))</f>
        <v/>
      </c>
      <c r="E55" s="15">
        <f>IF(C55="","",INDEX('Plan de obra'!$D$10:$D$29,MATCH(C55,'Plan de obra'!$A$10:$A$29,0)))</f>
        <v/>
      </c>
      <c r="F55" s="4" t="n"/>
      <c r="G55" s="11">
        <f>IF(C55="","",INDEX('Plan de obra'!$F$10:$F$29,MATCH(C55,'Plan de obra'!$A$10:$A$29,0)))</f>
        <v/>
      </c>
      <c r="H55" s="11">
        <f>IF(OR(C55="",F55=""),"",F55*G55)</f>
        <v/>
      </c>
      <c r="I55" s="4" t="n"/>
      <c r="J55" s="4" t="n"/>
      <c r="K55" s="4" t="n"/>
    </row>
    <row r="56">
      <c r="A56" s="14" t="n"/>
      <c r="B56" s="4" t="n"/>
      <c r="C56" s="4" t="n"/>
      <c r="D56" s="15">
        <f>IF(C56="","",INDEX('Plan de obra'!$B$10:$B$29,MATCH(C56,'Plan de obra'!$A$10:$A$29,0)))</f>
        <v/>
      </c>
      <c r="E56" s="15">
        <f>IF(C56="","",INDEX('Plan de obra'!$D$10:$D$29,MATCH(C56,'Plan de obra'!$A$10:$A$29,0)))</f>
        <v/>
      </c>
      <c r="F56" s="4" t="n"/>
      <c r="G56" s="11">
        <f>IF(C56="","",INDEX('Plan de obra'!$F$10:$F$29,MATCH(C56,'Plan de obra'!$A$10:$A$29,0)))</f>
        <v/>
      </c>
      <c r="H56" s="11">
        <f>IF(OR(C56="",F56=""),"",F56*G56)</f>
        <v/>
      </c>
      <c r="I56" s="4" t="n"/>
      <c r="J56" s="4" t="n"/>
      <c r="K56" s="4" t="n"/>
    </row>
    <row r="57">
      <c r="A57" s="14" t="n"/>
      <c r="B57" s="4" t="n"/>
      <c r="C57" s="4" t="n"/>
      <c r="D57" s="15">
        <f>IF(C57="","",INDEX('Plan de obra'!$B$10:$B$29,MATCH(C57,'Plan de obra'!$A$10:$A$29,0)))</f>
        <v/>
      </c>
      <c r="E57" s="15">
        <f>IF(C57="","",INDEX('Plan de obra'!$D$10:$D$29,MATCH(C57,'Plan de obra'!$A$10:$A$29,0)))</f>
        <v/>
      </c>
      <c r="F57" s="4" t="n"/>
      <c r="G57" s="11">
        <f>IF(C57="","",INDEX('Plan de obra'!$F$10:$F$29,MATCH(C57,'Plan de obra'!$A$10:$A$29,0)))</f>
        <v/>
      </c>
      <c r="H57" s="11">
        <f>IF(OR(C57="",F57=""),"",F57*G57)</f>
        <v/>
      </c>
      <c r="I57" s="4" t="n"/>
      <c r="J57" s="4" t="n"/>
      <c r="K57" s="4" t="n"/>
    </row>
    <row r="58">
      <c r="A58" s="14" t="n"/>
      <c r="B58" s="4" t="n"/>
      <c r="C58" s="4" t="n"/>
      <c r="D58" s="15">
        <f>IF(C58="","",INDEX('Plan de obra'!$B$10:$B$29,MATCH(C58,'Plan de obra'!$A$10:$A$29,0)))</f>
        <v/>
      </c>
      <c r="E58" s="15">
        <f>IF(C58="","",INDEX('Plan de obra'!$D$10:$D$29,MATCH(C58,'Plan de obra'!$A$10:$A$29,0)))</f>
        <v/>
      </c>
      <c r="F58" s="4" t="n"/>
      <c r="G58" s="11">
        <f>IF(C58="","",INDEX('Plan de obra'!$F$10:$F$29,MATCH(C58,'Plan de obra'!$A$10:$A$29,0)))</f>
        <v/>
      </c>
      <c r="H58" s="11">
        <f>IF(OR(C58="",F58=""),"",F58*G58)</f>
        <v/>
      </c>
      <c r="I58" s="4" t="n"/>
      <c r="J58" s="4" t="n"/>
      <c r="K58" s="4" t="n"/>
    </row>
    <row r="59">
      <c r="A59" s="14" t="n"/>
      <c r="B59" s="4" t="n"/>
      <c r="C59" s="4" t="n"/>
      <c r="D59" s="15">
        <f>IF(C59="","",INDEX('Plan de obra'!$B$10:$B$29,MATCH(C59,'Plan de obra'!$A$10:$A$29,0)))</f>
        <v/>
      </c>
      <c r="E59" s="15">
        <f>IF(C59="","",INDEX('Plan de obra'!$D$10:$D$29,MATCH(C59,'Plan de obra'!$A$10:$A$29,0)))</f>
        <v/>
      </c>
      <c r="F59" s="4" t="n"/>
      <c r="G59" s="11">
        <f>IF(C59="","",INDEX('Plan de obra'!$F$10:$F$29,MATCH(C59,'Plan de obra'!$A$10:$A$29,0)))</f>
        <v/>
      </c>
      <c r="H59" s="11">
        <f>IF(OR(C59="",F59=""),"",F59*G59)</f>
        <v/>
      </c>
      <c r="I59" s="4" t="n"/>
      <c r="J59" s="4" t="n"/>
      <c r="K59" s="4" t="n"/>
    </row>
    <row r="60">
      <c r="A60" s="14" t="n"/>
      <c r="B60" s="4" t="n"/>
      <c r="C60" s="4" t="n"/>
      <c r="D60" s="15">
        <f>IF(C60="","",INDEX('Plan de obra'!$B$10:$B$29,MATCH(C60,'Plan de obra'!$A$10:$A$29,0)))</f>
        <v/>
      </c>
      <c r="E60" s="15">
        <f>IF(C60="","",INDEX('Plan de obra'!$D$10:$D$29,MATCH(C60,'Plan de obra'!$A$10:$A$29,0)))</f>
        <v/>
      </c>
      <c r="F60" s="4" t="n"/>
      <c r="G60" s="11">
        <f>IF(C60="","",INDEX('Plan de obra'!$F$10:$F$29,MATCH(C60,'Plan de obra'!$A$10:$A$29,0)))</f>
        <v/>
      </c>
      <c r="H60" s="11">
        <f>IF(OR(C60="",F60=""),"",F60*G60)</f>
        <v/>
      </c>
      <c r="I60" s="4" t="n"/>
      <c r="J60" s="4" t="n"/>
      <c r="K60" s="4" t="n"/>
    </row>
    <row r="61">
      <c r="A61" s="14" t="n"/>
      <c r="B61" s="4" t="n"/>
      <c r="C61" s="4" t="n"/>
      <c r="D61" s="15">
        <f>IF(C61="","",INDEX('Plan de obra'!$B$10:$B$29,MATCH(C61,'Plan de obra'!$A$10:$A$29,0)))</f>
        <v/>
      </c>
      <c r="E61" s="15">
        <f>IF(C61="","",INDEX('Plan de obra'!$D$10:$D$29,MATCH(C61,'Plan de obra'!$A$10:$A$29,0)))</f>
        <v/>
      </c>
      <c r="F61" s="4" t="n"/>
      <c r="G61" s="11">
        <f>IF(C61="","",INDEX('Plan de obra'!$F$10:$F$29,MATCH(C61,'Plan de obra'!$A$10:$A$29,0)))</f>
        <v/>
      </c>
      <c r="H61" s="11">
        <f>IF(OR(C61="",F61=""),"",F61*G61)</f>
        <v/>
      </c>
      <c r="I61" s="4" t="n"/>
      <c r="J61" s="4" t="n"/>
      <c r="K61" s="4" t="n"/>
    </row>
    <row r="62">
      <c r="A62" s="14" t="n"/>
      <c r="B62" s="4" t="n"/>
      <c r="C62" s="4" t="n"/>
      <c r="D62" s="15">
        <f>IF(C62="","",INDEX('Plan de obra'!$B$10:$B$29,MATCH(C62,'Plan de obra'!$A$10:$A$29,0)))</f>
        <v/>
      </c>
      <c r="E62" s="15">
        <f>IF(C62="","",INDEX('Plan de obra'!$D$10:$D$29,MATCH(C62,'Plan de obra'!$A$10:$A$29,0)))</f>
        <v/>
      </c>
      <c r="F62" s="4" t="n"/>
      <c r="G62" s="11">
        <f>IF(C62="","",INDEX('Plan de obra'!$F$10:$F$29,MATCH(C62,'Plan de obra'!$A$10:$A$29,0)))</f>
        <v/>
      </c>
      <c r="H62" s="11">
        <f>IF(OR(C62="",F62=""),"",F62*G62)</f>
        <v/>
      </c>
      <c r="I62" s="4" t="n"/>
      <c r="J62" s="4" t="n"/>
      <c r="K62" s="4" t="n"/>
    </row>
    <row r="63">
      <c r="A63" s="14" t="n"/>
      <c r="B63" s="4" t="n"/>
      <c r="C63" s="4" t="n"/>
      <c r="D63" s="15">
        <f>IF(C63="","",INDEX('Plan de obra'!$B$10:$B$29,MATCH(C63,'Plan de obra'!$A$10:$A$29,0)))</f>
        <v/>
      </c>
      <c r="E63" s="15">
        <f>IF(C63="","",INDEX('Plan de obra'!$D$10:$D$29,MATCH(C63,'Plan de obra'!$A$10:$A$29,0)))</f>
        <v/>
      </c>
      <c r="F63" s="4" t="n"/>
      <c r="G63" s="11">
        <f>IF(C63="","",INDEX('Plan de obra'!$F$10:$F$29,MATCH(C63,'Plan de obra'!$A$10:$A$29,0)))</f>
        <v/>
      </c>
      <c r="H63" s="11">
        <f>IF(OR(C63="",F63=""),"",F63*G63)</f>
        <v/>
      </c>
      <c r="I63" s="4" t="n"/>
      <c r="J63" s="4" t="n"/>
      <c r="K63" s="4" t="n"/>
    </row>
    <row r="64">
      <c r="A64" s="14" t="n"/>
      <c r="B64" s="4" t="n"/>
      <c r="C64" s="4" t="n"/>
      <c r="D64" s="15">
        <f>IF(C64="","",INDEX('Plan de obra'!$B$10:$B$29,MATCH(C64,'Plan de obra'!$A$10:$A$29,0)))</f>
        <v/>
      </c>
      <c r="E64" s="15">
        <f>IF(C64="","",INDEX('Plan de obra'!$D$10:$D$29,MATCH(C64,'Plan de obra'!$A$10:$A$29,0)))</f>
        <v/>
      </c>
      <c r="F64" s="4" t="n"/>
      <c r="G64" s="11">
        <f>IF(C64="","",INDEX('Plan de obra'!$F$10:$F$29,MATCH(C64,'Plan de obra'!$A$10:$A$29,0)))</f>
        <v/>
      </c>
      <c r="H64" s="11">
        <f>IF(OR(C64="",F64=""),"",F64*G64)</f>
        <v/>
      </c>
      <c r="I64" s="4" t="n"/>
      <c r="J64" s="4" t="n"/>
      <c r="K64" s="4" t="n"/>
    </row>
    <row r="66">
      <c r="G66" s="3" t="inlineStr">
        <is>
          <t>Total cobrable (aprobado)</t>
        </is>
      </c>
      <c r="H66" s="13">
        <f>SUMIFS(H5:H64,J5:J64,"Sí")</f>
        <v/>
      </c>
    </row>
    <row r="67">
      <c r="G67" s="3" t="inlineStr">
        <is>
          <t>Total pagado</t>
        </is>
      </c>
      <c r="H67" s="13">
        <f>SUMIFS(H5:H64,K5:K64,"Sí")</f>
        <v/>
      </c>
    </row>
  </sheetData>
  <dataValidations count="2">
    <dataValidation sqref="I5:K64" showDropDown="0" showInputMessage="0" showErrorMessage="0" allowBlank="1" type="list">
      <formula1>"Sí,No"</formula1>
    </dataValidation>
    <dataValidation sqref="C5:C64" showDropDown="0" showInputMessage="0" showErrorMessage="0" allowBlank="1" type="whole" operator="between">
      <formula1>1</formula1>
      <formula2>20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Resumen de la obra: qué se hizo, cuánto se cobró y cuánto falta</t>
        </is>
      </c>
    </row>
    <row r="3" ht="32" customHeight="1">
      <c r="A3" s="8" t="inlineStr">
        <is>
          <t>N°</t>
        </is>
      </c>
      <c r="B3" s="8" t="inlineStr">
        <is>
          <t>Tarea</t>
        </is>
      </c>
      <c r="C3" s="8" t="inlineStr">
        <is>
          <t>Unidad</t>
        </is>
      </c>
      <c r="D3" s="8" t="inlineStr">
        <is>
          <t>Cantidad total</t>
        </is>
      </c>
      <c r="E3" s="8" t="inlineStr">
        <is>
          <t>Hecho hasta hoy</t>
        </is>
      </c>
      <c r="F3" s="8" t="inlineStr">
        <is>
          <t>% de avance</t>
        </is>
      </c>
      <c r="G3" s="8" t="inlineStr">
        <is>
          <t>Valor de la tarea</t>
        </is>
      </c>
      <c r="H3" s="8" t="inlineStr">
        <is>
          <t>Valor ejecutado</t>
        </is>
      </c>
      <c r="I3" s="8" t="inlineStr">
        <is>
          <t>Falta ejecutar</t>
        </is>
      </c>
    </row>
    <row r="4">
      <c r="A4" s="15">
        <f>'Plan de obra'!A10</f>
        <v/>
      </c>
      <c r="B4" s="15">
        <f>IF('Plan de obra'!B10="","",'Plan de obra'!B10)</f>
        <v/>
      </c>
      <c r="C4" s="15">
        <f>IF('Plan de obra'!D10="","",'Plan de obra'!D10)</f>
        <v/>
      </c>
      <c r="D4" s="15">
        <f>IF('Plan de obra'!E10="","",'Plan de obra'!E10)</f>
        <v/>
      </c>
      <c r="E4" s="15">
        <f>IF(B4="","",SUMIFS('Parte de viernes'!$F$5:$F$64,'Parte de viernes'!$C$5:$C$64,A4))</f>
        <v/>
      </c>
      <c r="F4" s="16">
        <f>IF(OR(B4="",D4="",D4=0),"",MIN(1,E4/D4))</f>
        <v/>
      </c>
      <c r="G4" s="11">
        <f>IF(B4="","",'Plan de obra'!G10)</f>
        <v/>
      </c>
      <c r="H4" s="11">
        <f>IF(F4="","",G4*F4)</f>
        <v/>
      </c>
      <c r="I4" s="11">
        <f>IF(F4="","",G4-H4)</f>
        <v/>
      </c>
    </row>
    <row r="5">
      <c r="A5" s="15">
        <f>'Plan de obra'!A11</f>
        <v/>
      </c>
      <c r="B5" s="15">
        <f>IF('Plan de obra'!B11="","",'Plan de obra'!B11)</f>
        <v/>
      </c>
      <c r="C5" s="15">
        <f>IF('Plan de obra'!D11="","",'Plan de obra'!D11)</f>
        <v/>
      </c>
      <c r="D5" s="15">
        <f>IF('Plan de obra'!E11="","",'Plan de obra'!E11)</f>
        <v/>
      </c>
      <c r="E5" s="15">
        <f>IF(B5="","",SUMIFS('Parte de viernes'!$F$5:$F$64,'Parte de viernes'!$C$5:$C$64,A5))</f>
        <v/>
      </c>
      <c r="F5" s="16">
        <f>IF(OR(B5="",D5="",D5=0),"",MIN(1,E5/D5))</f>
        <v/>
      </c>
      <c r="G5" s="11">
        <f>IF(B5="","",'Plan de obra'!G11)</f>
        <v/>
      </c>
      <c r="H5" s="11">
        <f>IF(F5="","",G5*F5)</f>
        <v/>
      </c>
      <c r="I5" s="11">
        <f>IF(F5="","",G5-H5)</f>
        <v/>
      </c>
    </row>
    <row r="6">
      <c r="A6" s="15">
        <f>'Plan de obra'!A12</f>
        <v/>
      </c>
      <c r="B6" s="15">
        <f>IF('Plan de obra'!B12="","",'Plan de obra'!B12)</f>
        <v/>
      </c>
      <c r="C6" s="15">
        <f>IF('Plan de obra'!D12="","",'Plan de obra'!D12)</f>
        <v/>
      </c>
      <c r="D6" s="15">
        <f>IF('Plan de obra'!E12="","",'Plan de obra'!E12)</f>
        <v/>
      </c>
      <c r="E6" s="15">
        <f>IF(B6="","",SUMIFS('Parte de viernes'!$F$5:$F$64,'Parte de viernes'!$C$5:$C$64,A6))</f>
        <v/>
      </c>
      <c r="F6" s="16">
        <f>IF(OR(B6="",D6="",D6=0),"",MIN(1,E6/D6))</f>
        <v/>
      </c>
      <c r="G6" s="11">
        <f>IF(B6="","",'Plan de obra'!G12)</f>
        <v/>
      </c>
      <c r="H6" s="11">
        <f>IF(F6="","",G6*F6)</f>
        <v/>
      </c>
      <c r="I6" s="11">
        <f>IF(F6="","",G6-H6)</f>
        <v/>
      </c>
    </row>
    <row r="7">
      <c r="A7" s="15">
        <f>'Plan de obra'!A13</f>
        <v/>
      </c>
      <c r="B7" s="15">
        <f>IF('Plan de obra'!B13="","",'Plan de obra'!B13)</f>
        <v/>
      </c>
      <c r="C7" s="15">
        <f>IF('Plan de obra'!D13="","",'Plan de obra'!D13)</f>
        <v/>
      </c>
      <c r="D7" s="15">
        <f>IF('Plan de obra'!E13="","",'Plan de obra'!E13)</f>
        <v/>
      </c>
      <c r="E7" s="15">
        <f>IF(B7="","",SUMIFS('Parte de viernes'!$F$5:$F$64,'Parte de viernes'!$C$5:$C$64,A7))</f>
        <v/>
      </c>
      <c r="F7" s="16">
        <f>IF(OR(B7="",D7="",D7=0),"",MIN(1,E7/D7))</f>
        <v/>
      </c>
      <c r="G7" s="11">
        <f>IF(B7="","",'Plan de obra'!G13)</f>
        <v/>
      </c>
      <c r="H7" s="11">
        <f>IF(F7="","",G7*F7)</f>
        <v/>
      </c>
      <c r="I7" s="11">
        <f>IF(F7="","",G7-H7)</f>
        <v/>
      </c>
    </row>
    <row r="8">
      <c r="A8" s="15">
        <f>'Plan de obra'!A14</f>
        <v/>
      </c>
      <c r="B8" s="15">
        <f>IF('Plan de obra'!B14="","",'Plan de obra'!B14)</f>
        <v/>
      </c>
      <c r="C8" s="15">
        <f>IF('Plan de obra'!D14="","",'Plan de obra'!D14)</f>
        <v/>
      </c>
      <c r="D8" s="15">
        <f>IF('Plan de obra'!E14="","",'Plan de obra'!E14)</f>
        <v/>
      </c>
      <c r="E8" s="15">
        <f>IF(B8="","",SUMIFS('Parte de viernes'!$F$5:$F$64,'Parte de viernes'!$C$5:$C$64,A8))</f>
        <v/>
      </c>
      <c r="F8" s="16">
        <f>IF(OR(B8="",D8="",D8=0),"",MIN(1,E8/D8))</f>
        <v/>
      </c>
      <c r="G8" s="11">
        <f>IF(B8="","",'Plan de obra'!G14)</f>
        <v/>
      </c>
      <c r="H8" s="11">
        <f>IF(F8="","",G8*F8)</f>
        <v/>
      </c>
      <c r="I8" s="11">
        <f>IF(F8="","",G8-H8)</f>
        <v/>
      </c>
    </row>
    <row r="9">
      <c r="A9" s="15">
        <f>'Plan de obra'!A15</f>
        <v/>
      </c>
      <c r="B9" s="15">
        <f>IF('Plan de obra'!B15="","",'Plan de obra'!B15)</f>
        <v/>
      </c>
      <c r="C9" s="15">
        <f>IF('Plan de obra'!D15="","",'Plan de obra'!D15)</f>
        <v/>
      </c>
      <c r="D9" s="15">
        <f>IF('Plan de obra'!E15="","",'Plan de obra'!E15)</f>
        <v/>
      </c>
      <c r="E9" s="15">
        <f>IF(B9="","",SUMIFS('Parte de viernes'!$F$5:$F$64,'Parte de viernes'!$C$5:$C$64,A9))</f>
        <v/>
      </c>
      <c r="F9" s="16">
        <f>IF(OR(B9="",D9="",D9=0),"",MIN(1,E9/D9))</f>
        <v/>
      </c>
      <c r="G9" s="11">
        <f>IF(B9="","",'Plan de obra'!G15)</f>
        <v/>
      </c>
      <c r="H9" s="11">
        <f>IF(F9="","",G9*F9)</f>
        <v/>
      </c>
      <c r="I9" s="11">
        <f>IF(F9="","",G9-H9)</f>
        <v/>
      </c>
    </row>
    <row r="10">
      <c r="A10" s="15">
        <f>'Plan de obra'!A16</f>
        <v/>
      </c>
      <c r="B10" s="15">
        <f>IF('Plan de obra'!B16="","",'Plan de obra'!B16)</f>
        <v/>
      </c>
      <c r="C10" s="15">
        <f>IF('Plan de obra'!D16="","",'Plan de obra'!D16)</f>
        <v/>
      </c>
      <c r="D10" s="15">
        <f>IF('Plan de obra'!E16="","",'Plan de obra'!E16)</f>
        <v/>
      </c>
      <c r="E10" s="15">
        <f>IF(B10="","",SUMIFS('Parte de viernes'!$F$5:$F$64,'Parte de viernes'!$C$5:$C$64,A10))</f>
        <v/>
      </c>
      <c r="F10" s="16">
        <f>IF(OR(B10="",D10="",D10=0),"",MIN(1,E10/D10))</f>
        <v/>
      </c>
      <c r="G10" s="11">
        <f>IF(B10="","",'Plan de obra'!G16)</f>
        <v/>
      </c>
      <c r="H10" s="11">
        <f>IF(F10="","",G10*F10)</f>
        <v/>
      </c>
      <c r="I10" s="11">
        <f>IF(F10="","",G10-H10)</f>
        <v/>
      </c>
    </row>
    <row r="11">
      <c r="A11" s="15">
        <f>'Plan de obra'!A17</f>
        <v/>
      </c>
      <c r="B11" s="15">
        <f>IF('Plan de obra'!B17="","",'Plan de obra'!B17)</f>
        <v/>
      </c>
      <c r="C11" s="15">
        <f>IF('Plan de obra'!D17="","",'Plan de obra'!D17)</f>
        <v/>
      </c>
      <c r="D11" s="15">
        <f>IF('Plan de obra'!E17="","",'Plan de obra'!E17)</f>
        <v/>
      </c>
      <c r="E11" s="15">
        <f>IF(B11="","",SUMIFS('Parte de viernes'!$F$5:$F$64,'Parte de viernes'!$C$5:$C$64,A11))</f>
        <v/>
      </c>
      <c r="F11" s="16">
        <f>IF(OR(B11="",D11="",D11=0),"",MIN(1,E11/D11))</f>
        <v/>
      </c>
      <c r="G11" s="11">
        <f>IF(B11="","",'Plan de obra'!G17)</f>
        <v/>
      </c>
      <c r="H11" s="11">
        <f>IF(F11="","",G11*F11)</f>
        <v/>
      </c>
      <c r="I11" s="11">
        <f>IF(F11="","",G11-H11)</f>
        <v/>
      </c>
    </row>
    <row r="12">
      <c r="A12" s="15">
        <f>'Plan de obra'!A18</f>
        <v/>
      </c>
      <c r="B12" s="15">
        <f>IF('Plan de obra'!B18="","",'Plan de obra'!B18)</f>
        <v/>
      </c>
      <c r="C12" s="15">
        <f>IF('Plan de obra'!D18="","",'Plan de obra'!D18)</f>
        <v/>
      </c>
      <c r="D12" s="15">
        <f>IF('Plan de obra'!E18="","",'Plan de obra'!E18)</f>
        <v/>
      </c>
      <c r="E12" s="15">
        <f>IF(B12="","",SUMIFS('Parte de viernes'!$F$5:$F$64,'Parte de viernes'!$C$5:$C$64,A12))</f>
        <v/>
      </c>
      <c r="F12" s="16">
        <f>IF(OR(B12="",D12="",D12=0),"",MIN(1,E12/D12))</f>
        <v/>
      </c>
      <c r="G12" s="11">
        <f>IF(B12="","",'Plan de obra'!G18)</f>
        <v/>
      </c>
      <c r="H12" s="11">
        <f>IF(F12="","",G12*F12)</f>
        <v/>
      </c>
      <c r="I12" s="11">
        <f>IF(F12="","",G12-H12)</f>
        <v/>
      </c>
    </row>
    <row r="13">
      <c r="A13" s="15">
        <f>'Plan de obra'!A19</f>
        <v/>
      </c>
      <c r="B13" s="15">
        <f>IF('Plan de obra'!B19="","",'Plan de obra'!B19)</f>
        <v/>
      </c>
      <c r="C13" s="15">
        <f>IF('Plan de obra'!D19="","",'Plan de obra'!D19)</f>
        <v/>
      </c>
      <c r="D13" s="15">
        <f>IF('Plan de obra'!E19="","",'Plan de obra'!E19)</f>
        <v/>
      </c>
      <c r="E13" s="15">
        <f>IF(B13="","",SUMIFS('Parte de viernes'!$F$5:$F$64,'Parte de viernes'!$C$5:$C$64,A13))</f>
        <v/>
      </c>
      <c r="F13" s="16">
        <f>IF(OR(B13="",D13="",D13=0),"",MIN(1,E13/D13))</f>
        <v/>
      </c>
      <c r="G13" s="11">
        <f>IF(B13="","",'Plan de obra'!G19)</f>
        <v/>
      </c>
      <c r="H13" s="11">
        <f>IF(F13="","",G13*F13)</f>
        <v/>
      </c>
      <c r="I13" s="11">
        <f>IF(F13="","",G13-H13)</f>
        <v/>
      </c>
    </row>
    <row r="14">
      <c r="A14" s="15">
        <f>'Plan de obra'!A20</f>
        <v/>
      </c>
      <c r="B14" s="15">
        <f>IF('Plan de obra'!B20="","",'Plan de obra'!B20)</f>
        <v/>
      </c>
      <c r="C14" s="15">
        <f>IF('Plan de obra'!D20="","",'Plan de obra'!D20)</f>
        <v/>
      </c>
      <c r="D14" s="15">
        <f>IF('Plan de obra'!E20="","",'Plan de obra'!E20)</f>
        <v/>
      </c>
      <c r="E14" s="15">
        <f>IF(B14="","",SUMIFS('Parte de viernes'!$F$5:$F$64,'Parte de viernes'!$C$5:$C$64,A14))</f>
        <v/>
      </c>
      <c r="F14" s="16">
        <f>IF(OR(B14="",D14="",D14=0),"",MIN(1,E14/D14))</f>
        <v/>
      </c>
      <c r="G14" s="11">
        <f>IF(B14="","",'Plan de obra'!G20)</f>
        <v/>
      </c>
      <c r="H14" s="11">
        <f>IF(F14="","",G14*F14)</f>
        <v/>
      </c>
      <c r="I14" s="11">
        <f>IF(F14="","",G14-H14)</f>
        <v/>
      </c>
    </row>
    <row r="15">
      <c r="A15" s="15">
        <f>'Plan de obra'!A21</f>
        <v/>
      </c>
      <c r="B15" s="15">
        <f>IF('Plan de obra'!B21="","",'Plan de obra'!B21)</f>
        <v/>
      </c>
      <c r="C15" s="15">
        <f>IF('Plan de obra'!D21="","",'Plan de obra'!D21)</f>
        <v/>
      </c>
      <c r="D15" s="15">
        <f>IF('Plan de obra'!E21="","",'Plan de obra'!E21)</f>
        <v/>
      </c>
      <c r="E15" s="15">
        <f>IF(B15="","",SUMIFS('Parte de viernes'!$F$5:$F$64,'Parte de viernes'!$C$5:$C$64,A15))</f>
        <v/>
      </c>
      <c r="F15" s="16">
        <f>IF(OR(B15="",D15="",D15=0),"",MIN(1,E15/D15))</f>
        <v/>
      </c>
      <c r="G15" s="11">
        <f>IF(B15="","",'Plan de obra'!G21)</f>
        <v/>
      </c>
      <c r="H15" s="11">
        <f>IF(F15="","",G15*F15)</f>
        <v/>
      </c>
      <c r="I15" s="11">
        <f>IF(F15="","",G15-H15)</f>
        <v/>
      </c>
    </row>
    <row r="16">
      <c r="A16" s="15">
        <f>'Plan de obra'!A22</f>
        <v/>
      </c>
      <c r="B16" s="15">
        <f>IF('Plan de obra'!B22="","",'Plan de obra'!B22)</f>
        <v/>
      </c>
      <c r="C16" s="15">
        <f>IF('Plan de obra'!D22="","",'Plan de obra'!D22)</f>
        <v/>
      </c>
      <c r="D16" s="15">
        <f>IF('Plan de obra'!E22="","",'Plan de obra'!E22)</f>
        <v/>
      </c>
      <c r="E16" s="15">
        <f>IF(B16="","",SUMIFS('Parte de viernes'!$F$5:$F$64,'Parte de viernes'!$C$5:$C$64,A16))</f>
        <v/>
      </c>
      <c r="F16" s="16">
        <f>IF(OR(B16="",D16="",D16=0),"",MIN(1,E16/D16))</f>
        <v/>
      </c>
      <c r="G16" s="11">
        <f>IF(B16="","",'Plan de obra'!G22)</f>
        <v/>
      </c>
      <c r="H16" s="11">
        <f>IF(F16="","",G16*F16)</f>
        <v/>
      </c>
      <c r="I16" s="11">
        <f>IF(F16="","",G16-H16)</f>
        <v/>
      </c>
    </row>
    <row r="17">
      <c r="A17" s="15">
        <f>'Plan de obra'!A23</f>
        <v/>
      </c>
      <c r="B17" s="15">
        <f>IF('Plan de obra'!B23="","",'Plan de obra'!B23)</f>
        <v/>
      </c>
      <c r="C17" s="15">
        <f>IF('Plan de obra'!D23="","",'Plan de obra'!D23)</f>
        <v/>
      </c>
      <c r="D17" s="15">
        <f>IF('Plan de obra'!E23="","",'Plan de obra'!E23)</f>
        <v/>
      </c>
      <c r="E17" s="15">
        <f>IF(B17="","",SUMIFS('Parte de viernes'!$F$5:$F$64,'Parte de viernes'!$C$5:$C$64,A17))</f>
        <v/>
      </c>
      <c r="F17" s="16">
        <f>IF(OR(B17="",D17="",D17=0),"",MIN(1,E17/D17))</f>
        <v/>
      </c>
      <c r="G17" s="11">
        <f>IF(B17="","",'Plan de obra'!G23)</f>
        <v/>
      </c>
      <c r="H17" s="11">
        <f>IF(F17="","",G17*F17)</f>
        <v/>
      </c>
      <c r="I17" s="11">
        <f>IF(F17="","",G17-H17)</f>
        <v/>
      </c>
    </row>
    <row r="18">
      <c r="A18" s="15">
        <f>'Plan de obra'!A24</f>
        <v/>
      </c>
      <c r="B18" s="15">
        <f>IF('Plan de obra'!B24="","",'Plan de obra'!B24)</f>
        <v/>
      </c>
      <c r="C18" s="15">
        <f>IF('Plan de obra'!D24="","",'Plan de obra'!D24)</f>
        <v/>
      </c>
      <c r="D18" s="15">
        <f>IF('Plan de obra'!E24="","",'Plan de obra'!E24)</f>
        <v/>
      </c>
      <c r="E18" s="15">
        <f>IF(B18="","",SUMIFS('Parte de viernes'!$F$5:$F$64,'Parte de viernes'!$C$5:$C$64,A18))</f>
        <v/>
      </c>
      <c r="F18" s="16">
        <f>IF(OR(B18="",D18="",D18=0),"",MIN(1,E18/D18))</f>
        <v/>
      </c>
      <c r="G18" s="11">
        <f>IF(B18="","",'Plan de obra'!G24)</f>
        <v/>
      </c>
      <c r="H18" s="11">
        <f>IF(F18="","",G18*F18)</f>
        <v/>
      </c>
      <c r="I18" s="11">
        <f>IF(F18="","",G18-H18)</f>
        <v/>
      </c>
    </row>
    <row r="19">
      <c r="A19" s="15">
        <f>'Plan de obra'!A25</f>
        <v/>
      </c>
      <c r="B19" s="15">
        <f>IF('Plan de obra'!B25="","",'Plan de obra'!B25)</f>
        <v/>
      </c>
      <c r="C19" s="15">
        <f>IF('Plan de obra'!D25="","",'Plan de obra'!D25)</f>
        <v/>
      </c>
      <c r="D19" s="15">
        <f>IF('Plan de obra'!E25="","",'Plan de obra'!E25)</f>
        <v/>
      </c>
      <c r="E19" s="15">
        <f>IF(B19="","",SUMIFS('Parte de viernes'!$F$5:$F$64,'Parte de viernes'!$C$5:$C$64,A19))</f>
        <v/>
      </c>
      <c r="F19" s="16">
        <f>IF(OR(B19="",D19="",D19=0),"",MIN(1,E19/D19))</f>
        <v/>
      </c>
      <c r="G19" s="11">
        <f>IF(B19="","",'Plan de obra'!G25)</f>
        <v/>
      </c>
      <c r="H19" s="11">
        <f>IF(F19="","",G19*F19)</f>
        <v/>
      </c>
      <c r="I19" s="11">
        <f>IF(F19="","",G19-H19)</f>
        <v/>
      </c>
    </row>
    <row r="20">
      <c r="A20" s="15">
        <f>'Plan de obra'!A26</f>
        <v/>
      </c>
      <c r="B20" s="15">
        <f>IF('Plan de obra'!B26="","",'Plan de obra'!B26)</f>
        <v/>
      </c>
      <c r="C20" s="15">
        <f>IF('Plan de obra'!D26="","",'Plan de obra'!D26)</f>
        <v/>
      </c>
      <c r="D20" s="15">
        <f>IF('Plan de obra'!E26="","",'Plan de obra'!E26)</f>
        <v/>
      </c>
      <c r="E20" s="15">
        <f>IF(B20="","",SUMIFS('Parte de viernes'!$F$5:$F$64,'Parte de viernes'!$C$5:$C$64,A20))</f>
        <v/>
      </c>
      <c r="F20" s="16">
        <f>IF(OR(B20="",D20="",D20=0),"",MIN(1,E20/D20))</f>
        <v/>
      </c>
      <c r="G20" s="11">
        <f>IF(B20="","",'Plan de obra'!G26)</f>
        <v/>
      </c>
      <c r="H20" s="11">
        <f>IF(F20="","",G20*F20)</f>
        <v/>
      </c>
      <c r="I20" s="11">
        <f>IF(F20="","",G20-H20)</f>
        <v/>
      </c>
    </row>
    <row r="21">
      <c r="A21" s="15">
        <f>'Plan de obra'!A27</f>
        <v/>
      </c>
      <c r="B21" s="15">
        <f>IF('Plan de obra'!B27="","",'Plan de obra'!B27)</f>
        <v/>
      </c>
      <c r="C21" s="15">
        <f>IF('Plan de obra'!D27="","",'Plan de obra'!D27)</f>
        <v/>
      </c>
      <c r="D21" s="15">
        <f>IF('Plan de obra'!E27="","",'Plan de obra'!E27)</f>
        <v/>
      </c>
      <c r="E21" s="15">
        <f>IF(B21="","",SUMIFS('Parte de viernes'!$F$5:$F$64,'Parte de viernes'!$C$5:$C$64,A21))</f>
        <v/>
      </c>
      <c r="F21" s="16">
        <f>IF(OR(B21="",D21="",D21=0),"",MIN(1,E21/D21))</f>
        <v/>
      </c>
      <c r="G21" s="11">
        <f>IF(B21="","",'Plan de obra'!G27)</f>
        <v/>
      </c>
      <c r="H21" s="11">
        <f>IF(F21="","",G21*F21)</f>
        <v/>
      </c>
      <c r="I21" s="11">
        <f>IF(F21="","",G21-H21)</f>
        <v/>
      </c>
    </row>
    <row r="22">
      <c r="A22" s="15">
        <f>'Plan de obra'!A28</f>
        <v/>
      </c>
      <c r="B22" s="15">
        <f>IF('Plan de obra'!B28="","",'Plan de obra'!B28)</f>
        <v/>
      </c>
      <c r="C22" s="15">
        <f>IF('Plan de obra'!D28="","",'Plan de obra'!D28)</f>
        <v/>
      </c>
      <c r="D22" s="15">
        <f>IF('Plan de obra'!E28="","",'Plan de obra'!E28)</f>
        <v/>
      </c>
      <c r="E22" s="15">
        <f>IF(B22="","",SUMIFS('Parte de viernes'!$F$5:$F$64,'Parte de viernes'!$C$5:$C$64,A22))</f>
        <v/>
      </c>
      <c r="F22" s="16">
        <f>IF(OR(B22="",D22="",D22=0),"",MIN(1,E22/D22))</f>
        <v/>
      </c>
      <c r="G22" s="11">
        <f>IF(B22="","",'Plan de obra'!G28)</f>
        <v/>
      </c>
      <c r="H22" s="11">
        <f>IF(F22="","",G22*F22)</f>
        <v/>
      </c>
      <c r="I22" s="11">
        <f>IF(F22="","",G22-H22)</f>
        <v/>
      </c>
    </row>
    <row r="23">
      <c r="A23" s="15">
        <f>'Plan de obra'!A29</f>
        <v/>
      </c>
      <c r="B23" s="15">
        <f>IF('Plan de obra'!B29="","",'Plan de obra'!B29)</f>
        <v/>
      </c>
      <c r="C23" s="15">
        <f>IF('Plan de obra'!D29="","",'Plan de obra'!D29)</f>
        <v/>
      </c>
      <c r="D23" s="15">
        <f>IF('Plan de obra'!E29="","",'Plan de obra'!E29)</f>
        <v/>
      </c>
      <c r="E23" s="15">
        <f>IF(B23="","",SUMIFS('Parte de viernes'!$F$5:$F$64,'Parte de viernes'!$C$5:$C$64,A23))</f>
        <v/>
      </c>
      <c r="F23" s="16">
        <f>IF(OR(B23="",D23="",D23=0),"",MIN(1,E23/D23))</f>
        <v/>
      </c>
      <c r="G23" s="11">
        <f>IF(B23="","",'Plan de obra'!G29)</f>
        <v/>
      </c>
      <c r="H23" s="11">
        <f>IF(F23="","",G23*F23)</f>
        <v/>
      </c>
      <c r="I23" s="11">
        <f>IF(F23="","",G23-H23)</f>
        <v/>
      </c>
    </row>
    <row r="25">
      <c r="A25" s="3" t="inlineStr">
        <is>
          <t>Valor total de la obra</t>
        </is>
      </c>
      <c r="D25" s="12">
        <f>'Plan de obra'!G31</f>
        <v/>
      </c>
    </row>
    <row r="26">
      <c r="A26" s="3" t="inlineStr">
        <is>
          <t>Valor ejecutado hasta hoy</t>
        </is>
      </c>
      <c r="D26" s="12">
        <f>SUM(H4:H23)</f>
        <v/>
      </c>
    </row>
    <row r="27">
      <c r="A27" s="3" t="inlineStr">
        <is>
          <t>Avance general</t>
        </is>
      </c>
      <c r="D27" s="17">
        <f>IF(D25=0,"",D26/D25)</f>
        <v/>
      </c>
    </row>
    <row r="28">
      <c r="A28" s="3" t="inlineStr">
        <is>
          <t>Pagado por el cliente (anticipo no incluido)</t>
        </is>
      </c>
      <c r="D28" s="12">
        <f>'Parte de viernes'!H67</f>
        <v/>
      </c>
    </row>
    <row r="29">
      <c r="A29" s="3" t="inlineStr">
        <is>
          <t>Aprobado y pendiente de pago</t>
        </is>
      </c>
      <c r="D29" s="12">
        <f>'Parte de viernes'!H66-'Parte de viernes'!H67</f>
        <v/>
      </c>
    </row>
  </sheetData>
  <mergeCells count="5">
    <mergeCell ref="A27"/>
    <mergeCell ref="A26"/>
    <mergeCell ref="A29"/>
    <mergeCell ref="A25"/>
    <mergeCell ref="A28"/>
  </mergeCells>
  <conditionalFormatting sqref="F4:F23">
    <cfRule type="dataBar" priority="1">
      <dataBar>
        <cfvo type="num" val="0"/>
        <cfvo type="num" val="1"/>
        <color rgb="004CAF5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Cómo se usa esta planilla</t>
        </is>
      </c>
    </row>
    <row r="3">
      <c r="A3" s="18" t="inlineStr">
        <is>
          <t>1. Antes de empezar: en "Plan de obra" se carga cada tarea con su ambiente, unidad (m², metro lineal, unidad), cantidad, precio y la semana en que se piensa hacer. Se acuerda con el cliente.</t>
        </is>
      </c>
    </row>
    <row r="4">
      <c r="A4" s="18" t="inlineStr">
        <is>
          <t>2. Se fija el anticipo para materiales y la retención final (por defecto 20% y 10%; se pueden cambiar).</t>
        </is>
      </c>
    </row>
    <row r="5">
      <c r="A5" s="18" t="inlineStr">
        <is>
          <t>3. Cada viernes: en "Parte de viernes" se anota la fecha, el número de tarea y la cantidad realmente terminada esa semana. El monto se calcula solo.</t>
        </is>
      </c>
    </row>
    <row r="6">
      <c r="A6" s="18" t="inlineStr">
        <is>
          <t>4. Se le manda al cliente el parte (captura o PDF) con las fotos del avance. Cuando lo aprueba, se marca "Sí" en "Aprobado" y se cobra ese monto.</t>
        </is>
      </c>
    </row>
    <row r="7">
      <c r="A7" s="18" t="inlineStr">
        <is>
          <t>5. Al recibir el pago se marca "Sí" en "Pagado".</t>
        </is>
      </c>
    </row>
    <row r="8">
      <c r="A8" s="18" t="inlineStr">
        <is>
          <t>6. En "Resumen de avance" se ve en cualquier momento qué porcentaje de la obra está hecho, cuánto se cobró y cuánto falta.</t>
        </is>
      </c>
    </row>
    <row r="9">
      <c r="A9" s="18" t="inlineStr">
        <is>
          <t>7. Al terminar y con la entrega conforme del cliente, se cobra la retención final.</t>
        </is>
      </c>
    </row>
    <row r="10">
      <c r="A10" s="19" t="inlineStr">
        <is>
          <t>Regla de oro: se paga lo que se hizo y se pudo medir, no lo que se estima.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2026-10-23T12:41:35Z</dcterms:created>
  <dcterms:modified xmlns:dcterms="http://purl.org/dc/terms/" xmlns:xsi="http://www.w3.org/2001/XMLSchema-instance" xsi:type="dcterms:W3CDTF">2026-10-23T12:41:35Z</dcterms:modified>
</cp:coreProperties>
</file>